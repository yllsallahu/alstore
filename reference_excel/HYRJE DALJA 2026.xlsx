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c0244d3c23e3c20/Desktop/"/>
    </mc:Choice>
  </mc:AlternateContent>
  <xr:revisionPtr revIDLastSave="270" documentId="13_ncr:1_{CA45B6BB-1AF0-450F-9F45-5887FE3E5A3C}" xr6:coauthVersionLast="47" xr6:coauthVersionMax="47" xr10:uidLastSave="{DD575CF3-31AF-4C17-B0D7-56064DFF3B87}"/>
  <bookViews>
    <workbookView xWindow="-120" yWindow="-120" windowWidth="29040" windowHeight="15840" activeTab="1" xr2:uid="{00000000-000D-0000-FFFF-FFFF00000000}"/>
  </bookViews>
  <sheets>
    <sheet name="FATURA RREGULLT 2026" sheetId="1" r:id="rId1"/>
    <sheet name="DEPO BABI 2026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7" i="10" l="1"/>
  <c r="M334" i="10"/>
  <c r="M332" i="10"/>
  <c r="Y63" i="1" l="1"/>
  <c r="AJ250" i="1"/>
  <c r="AJ246" i="1"/>
  <c r="AJ247" i="1"/>
  <c r="AJ248" i="1"/>
  <c r="AJ249" i="1"/>
  <c r="AJ251" i="1"/>
  <c r="AJ252" i="1"/>
  <c r="AJ245" i="1"/>
  <c r="AJ235" i="1"/>
  <c r="AJ223" i="1"/>
  <c r="AJ224" i="1"/>
  <c r="AJ225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210" i="1" l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6" i="1"/>
  <c r="AJ227" i="1"/>
  <c r="AJ228" i="1"/>
  <c r="AJ229" i="1"/>
  <c r="AJ230" i="1"/>
  <c r="AJ231" i="1"/>
  <c r="AJ232" i="1"/>
  <c r="AJ233" i="1"/>
  <c r="AJ234" i="1"/>
  <c r="AJ236" i="1"/>
  <c r="AJ237" i="1"/>
  <c r="AI23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149" i="1"/>
  <c r="AJ150" i="1"/>
  <c r="AJ151" i="1"/>
  <c r="AJ152" i="1"/>
  <c r="AJ148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86" i="1" l="1"/>
  <c r="AJ87" i="1"/>
  <c r="AJ88" i="1"/>
  <c r="AJ89" i="1"/>
  <c r="AJ90" i="1"/>
  <c r="AJ91" i="1"/>
  <c r="AJ92" i="1"/>
  <c r="AJ94" i="1"/>
  <c r="AJ95" i="1"/>
  <c r="AJ96" i="1"/>
  <c r="AJ97" i="1"/>
  <c r="AJ98" i="1"/>
  <c r="AJ99" i="1"/>
  <c r="AJ100" i="1"/>
  <c r="N296" i="10"/>
  <c r="N297" i="10"/>
  <c r="N298" i="10"/>
  <c r="L295" i="10"/>
  <c r="N295" i="10" s="1"/>
  <c r="N299" i="10" s="1"/>
  <c r="E167" i="10"/>
  <c r="N186" i="10"/>
  <c r="N114" i="10"/>
  <c r="N113" i="10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79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5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AA63" i="1"/>
  <c r="AA64" i="1"/>
  <c r="AA65" i="1"/>
  <c r="AA66" i="1"/>
  <c r="M6" i="1"/>
  <c r="AT38" i="1"/>
  <c r="AJ7" i="1"/>
  <c r="E66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65" i="10"/>
  <c r="K59" i="10"/>
  <c r="N75" i="10"/>
  <c r="N76" i="10"/>
  <c r="L74" i="10"/>
  <c r="N74" i="10" s="1"/>
  <c r="F67" i="1" l="1"/>
  <c r="N115" i="10"/>
  <c r="N77" i="10"/>
  <c r="AJ390" i="1"/>
  <c r="AJ391" i="1"/>
  <c r="AJ392" i="1"/>
  <c r="AJ393" i="1"/>
  <c r="K468" i="10"/>
  <c r="AJ358" i="1"/>
  <c r="AJ359" i="1"/>
  <c r="AJ360" i="1"/>
  <c r="AJ361" i="1"/>
  <c r="D494" i="10"/>
  <c r="E468" i="10" s="1"/>
  <c r="K443" i="10"/>
  <c r="AJ362" i="1" l="1"/>
  <c r="AJ394" i="1"/>
  <c r="E421" i="10"/>
  <c r="E345" i="10"/>
  <c r="E309" i="10"/>
  <c r="E268" i="10"/>
  <c r="E230" i="10"/>
  <c r="E122" i="10"/>
  <c r="K404" i="10"/>
  <c r="AJ329" i="1"/>
  <c r="AJ330" i="1"/>
  <c r="AJ263" i="1"/>
  <c r="AJ292" i="1"/>
  <c r="AJ293" i="1"/>
  <c r="AJ294" i="1"/>
  <c r="AJ295" i="1"/>
  <c r="AJ296" i="1"/>
  <c r="AJ297" i="1"/>
  <c r="AJ298" i="1"/>
  <c r="M363" i="10"/>
  <c r="N375" i="10"/>
  <c r="L374" i="10"/>
  <c r="L373" i="10"/>
  <c r="E378" i="10"/>
  <c r="E382" i="10" s="1"/>
  <c r="E379" i="10"/>
  <c r="E380" i="10"/>
  <c r="E381" i="10"/>
  <c r="K330" i="10"/>
  <c r="K319" i="10" s="1"/>
  <c r="D347" i="10"/>
  <c r="E319" i="10" s="1"/>
  <c r="K290" i="10"/>
  <c r="K278" i="10" s="1"/>
  <c r="P58" i="1"/>
  <c r="W58" i="1"/>
  <c r="Y58" i="1"/>
  <c r="Z58" i="1"/>
  <c r="P59" i="1"/>
  <c r="W59" i="1"/>
  <c r="Y59" i="1"/>
  <c r="Z59" i="1"/>
  <c r="P60" i="1"/>
  <c r="W60" i="1"/>
  <c r="Y60" i="1"/>
  <c r="Z60" i="1"/>
  <c r="P61" i="1"/>
  <c r="W61" i="1"/>
  <c r="Y61" i="1"/>
  <c r="Z61" i="1"/>
  <c r="J62" i="1"/>
  <c r="Q62" i="1" s="1"/>
  <c r="X62" i="1" s="1"/>
  <c r="Y62" i="1"/>
  <c r="AA62" i="1" s="1"/>
  <c r="AJ202" i="1"/>
  <c r="AJ203" i="1" s="1"/>
  <c r="AI203" i="1"/>
  <c r="AI31" i="1"/>
  <c r="R28" i="1" s="1"/>
  <c r="T28" i="1" s="1"/>
  <c r="AJ331" i="1" l="1"/>
  <c r="AA61" i="1"/>
  <c r="AA59" i="1"/>
  <c r="AJ300" i="1"/>
  <c r="AA60" i="1"/>
  <c r="AA58" i="1"/>
  <c r="AI172" i="1"/>
  <c r="N220" i="10"/>
  <c r="N221" i="10"/>
  <c r="N219" i="10"/>
  <c r="N222" i="10" l="1"/>
  <c r="P51" i="1"/>
  <c r="W51" i="1"/>
  <c r="Y51" i="1"/>
  <c r="Z51" i="1"/>
  <c r="P52" i="1"/>
  <c r="W52" i="1"/>
  <c r="Y52" i="1"/>
  <c r="Z52" i="1"/>
  <c r="P53" i="1"/>
  <c r="W53" i="1"/>
  <c r="Y53" i="1"/>
  <c r="Z53" i="1"/>
  <c r="P54" i="1"/>
  <c r="W54" i="1"/>
  <c r="Y54" i="1"/>
  <c r="Z54" i="1"/>
  <c r="P55" i="1"/>
  <c r="W55" i="1"/>
  <c r="Y55" i="1"/>
  <c r="Z55" i="1"/>
  <c r="P56" i="1"/>
  <c r="W56" i="1"/>
  <c r="Y56" i="1"/>
  <c r="Z56" i="1"/>
  <c r="P57" i="1"/>
  <c r="W57" i="1"/>
  <c r="Y57" i="1"/>
  <c r="Z57" i="1"/>
  <c r="AA56" i="1" l="1"/>
  <c r="AA54" i="1"/>
  <c r="AA52" i="1"/>
  <c r="AA57" i="1"/>
  <c r="AA55" i="1"/>
  <c r="AA51" i="1"/>
  <c r="AA53" i="1"/>
  <c r="AJ172" i="1"/>
  <c r="E194" i="10"/>
  <c r="N185" i="10"/>
  <c r="N184" i="10"/>
  <c r="M141" i="10"/>
  <c r="M139" i="10"/>
  <c r="J36" i="1"/>
  <c r="Q36" i="1" s="1"/>
  <c r="X36" i="1" s="1"/>
  <c r="J37" i="1"/>
  <c r="Q37" i="1" s="1"/>
  <c r="X37" i="1" s="1"/>
  <c r="J38" i="1"/>
  <c r="Q38" i="1" s="1"/>
  <c r="X38" i="1" s="1"/>
  <c r="J39" i="1"/>
  <c r="Q39" i="1" s="1"/>
  <c r="X39" i="1" s="1"/>
  <c r="J40" i="1"/>
  <c r="Q40" i="1" s="1"/>
  <c r="X40" i="1" s="1"/>
  <c r="J41" i="1"/>
  <c r="Q41" i="1" s="1"/>
  <c r="X41" i="1" s="1"/>
  <c r="J42" i="1"/>
  <c r="Q42" i="1" s="1"/>
  <c r="X42" i="1" s="1"/>
  <c r="J43" i="1"/>
  <c r="Q43" i="1" s="1"/>
  <c r="X43" i="1" s="1"/>
  <c r="J44" i="1"/>
  <c r="Q44" i="1" s="1"/>
  <c r="X44" i="1" s="1"/>
  <c r="J45" i="1"/>
  <c r="Q45" i="1" s="1"/>
  <c r="X45" i="1" s="1"/>
  <c r="J46" i="1"/>
  <c r="Q46" i="1" s="1"/>
  <c r="X46" i="1" s="1"/>
  <c r="J47" i="1"/>
  <c r="Q47" i="1" s="1"/>
  <c r="X47" i="1" s="1"/>
  <c r="J48" i="1"/>
  <c r="Q48" i="1" s="1"/>
  <c r="X48" i="1" s="1"/>
  <c r="J49" i="1"/>
  <c r="Q49" i="1" s="1"/>
  <c r="X49" i="1" s="1"/>
  <c r="J50" i="1"/>
  <c r="Q50" i="1" s="1"/>
  <c r="X50" i="1" s="1"/>
  <c r="J35" i="1"/>
  <c r="Q35" i="1" s="1"/>
  <c r="X35" i="1" s="1"/>
  <c r="AJ101" i="1"/>
  <c r="AJ102" i="1"/>
  <c r="AJ103" i="1"/>
  <c r="AJ104" i="1"/>
  <c r="AJ105" i="1"/>
  <c r="AH31" i="1"/>
  <c r="AH79" i="1"/>
  <c r="AJ110" i="1" l="1"/>
  <c r="K143" i="10"/>
  <c r="M154" i="10"/>
  <c r="M140" i="10"/>
  <c r="M104" i="10"/>
  <c r="M103" i="10"/>
  <c r="M107" i="10"/>
  <c r="M102" i="10" l="1"/>
  <c r="K32" i="10"/>
  <c r="Y29" i="1"/>
  <c r="AA29" i="1" s="1"/>
  <c r="D85" i="10" l="1"/>
  <c r="E59" i="10" s="1"/>
  <c r="E60" i="10" s="1"/>
  <c r="Y32" i="10"/>
  <c r="Y23" i="10"/>
  <c r="Y19" i="10"/>
  <c r="Y16" i="10"/>
  <c r="Y15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Y24" i="10"/>
  <c r="Y13" i="10"/>
  <c r="Y17" i="10"/>
  <c r="Y21" i="10"/>
  <c r="Y22" i="10"/>
  <c r="Y25" i="10"/>
  <c r="Y29" i="10"/>
  <c r="Y31" i="10"/>
  <c r="Y33" i="10"/>
  <c r="Y34" i="10"/>
  <c r="Y6" i="1"/>
  <c r="AA6" i="1" s="1"/>
  <c r="Y7" i="1"/>
  <c r="AA7" i="1" s="1"/>
  <c r="Y8" i="1"/>
  <c r="AA8" i="1" s="1"/>
  <c r="Y9" i="1"/>
  <c r="AA9" i="1" s="1"/>
  <c r="Y10" i="1"/>
  <c r="AA10" i="1" s="1"/>
  <c r="Y11" i="1"/>
  <c r="AA11" i="1" s="1"/>
  <c r="Y12" i="1"/>
  <c r="AA12" i="1" s="1"/>
  <c r="Y13" i="1"/>
  <c r="AA13" i="1" s="1"/>
  <c r="Y14" i="1"/>
  <c r="AA14" i="1" s="1"/>
  <c r="Y15" i="1"/>
  <c r="AA15" i="1" s="1"/>
  <c r="Y16" i="1"/>
  <c r="AA16" i="1" s="1"/>
  <c r="Y17" i="1"/>
  <c r="AA17" i="1" s="1"/>
  <c r="Y18" i="1"/>
  <c r="AA18" i="1" s="1"/>
  <c r="Y19" i="1"/>
  <c r="AA19" i="1" s="1"/>
  <c r="Y20" i="1"/>
  <c r="AA20" i="1" s="1"/>
  <c r="Y21" i="1"/>
  <c r="AA21" i="1" s="1"/>
  <c r="Y22" i="1"/>
  <c r="AA22" i="1" s="1"/>
  <c r="Y23" i="1"/>
  <c r="AA23" i="1" s="1"/>
  <c r="Y24" i="1"/>
  <c r="AA24" i="1" s="1"/>
  <c r="Y25" i="1"/>
  <c r="AA25" i="1" s="1"/>
  <c r="Y26" i="1"/>
  <c r="AA26" i="1" s="1"/>
  <c r="Y27" i="1"/>
  <c r="AA27" i="1" s="1"/>
  <c r="Y30" i="1"/>
  <c r="AA30" i="1" s="1"/>
  <c r="Y31" i="1"/>
  <c r="AA31" i="1" s="1"/>
  <c r="Y32" i="1"/>
  <c r="AA32" i="1" s="1"/>
  <c r="Y33" i="1"/>
  <c r="AA33" i="1" s="1"/>
  <c r="Y34" i="1"/>
  <c r="AA34" i="1" s="1"/>
  <c r="Y35" i="1"/>
  <c r="AA35" i="1" s="1"/>
  <c r="Y36" i="1"/>
  <c r="AA36" i="1" s="1"/>
  <c r="Y37" i="1"/>
  <c r="AA37" i="1" s="1"/>
  <c r="Y38" i="1"/>
  <c r="AA38" i="1" s="1"/>
  <c r="Y39" i="1"/>
  <c r="AA39" i="1" s="1"/>
  <c r="Y40" i="1"/>
  <c r="AA40" i="1" s="1"/>
  <c r="Y41" i="1"/>
  <c r="AA41" i="1" s="1"/>
  <c r="Y42" i="1"/>
  <c r="AA42" i="1" s="1"/>
  <c r="Y43" i="1"/>
  <c r="AA43" i="1" s="1"/>
  <c r="Y44" i="1"/>
  <c r="AA44" i="1" s="1"/>
  <c r="Y45" i="1"/>
  <c r="AA45" i="1" s="1"/>
  <c r="Y46" i="1"/>
  <c r="AA46" i="1" s="1"/>
  <c r="Y47" i="1"/>
  <c r="AA47" i="1" s="1"/>
  <c r="Y48" i="1"/>
  <c r="AA48" i="1" s="1"/>
  <c r="Y49" i="1"/>
  <c r="AA49" i="1" s="1"/>
  <c r="Y50" i="1"/>
  <c r="AA50" i="1" s="1"/>
  <c r="Y30" i="10" l="1"/>
  <c r="Y14" i="10"/>
  <c r="Y26" i="10"/>
  <c r="Y28" i="10"/>
  <c r="Y20" i="10"/>
  <c r="Y12" i="10"/>
  <c r="Y11" i="10"/>
  <c r="Y27" i="10"/>
  <c r="Y18" i="10"/>
  <c r="Y10" i="10"/>
  <c r="AD9" i="10"/>
  <c r="E85" i="10" l="1"/>
  <c r="M67" i="10"/>
  <c r="M68" i="10"/>
  <c r="M66" i="10"/>
  <c r="W491" i="10"/>
  <c r="N488" i="10"/>
  <c r="N487" i="10"/>
  <c r="M71" i="10" l="1"/>
  <c r="N490" i="10"/>
  <c r="D160" i="10"/>
  <c r="D460" i="10"/>
  <c r="N449" i="10"/>
  <c r="N450" i="10"/>
  <c r="N452" i="10" l="1"/>
  <c r="D384" i="10"/>
  <c r="E356" i="10" s="1"/>
  <c r="D423" i="10"/>
  <c r="Q109" i="1" l="1"/>
  <c r="K28" i="1" s="1"/>
  <c r="M28" i="1" s="1"/>
  <c r="J109" i="1"/>
  <c r="K5" i="1" s="1"/>
  <c r="M5" i="1" s="1"/>
  <c r="M67" i="1" l="1"/>
  <c r="AI362" i="1"/>
  <c r="AI331" i="1"/>
  <c r="AI300" i="1"/>
  <c r="AI269" i="1"/>
  <c r="AI141" i="1"/>
  <c r="AI110" i="1"/>
  <c r="AI79" i="1"/>
  <c r="N374" i="10"/>
  <c r="N373" i="10"/>
  <c r="AJ265" i="1"/>
  <c r="AJ269" i="1" s="1"/>
  <c r="N339" i="10"/>
  <c r="N338" i="10"/>
  <c r="N376" i="10" l="1"/>
  <c r="N341" i="10"/>
  <c r="D311" i="10"/>
  <c r="N255" i="10"/>
  <c r="N254" i="10"/>
  <c r="D270" i="10"/>
  <c r="N257" i="10" l="1"/>
  <c r="D232" i="10"/>
  <c r="N188" i="10"/>
  <c r="D196" i="10"/>
  <c r="M176" i="10"/>
  <c r="M177" i="10"/>
  <c r="E157" i="10"/>
  <c r="D124" i="10" l="1"/>
  <c r="M477" i="10" l="1"/>
  <c r="M476" i="10"/>
  <c r="M475" i="10"/>
  <c r="M441" i="10"/>
  <c r="M440" i="10"/>
  <c r="M439" i="10"/>
  <c r="E393" i="10"/>
  <c r="M402" i="10"/>
  <c r="M401" i="10"/>
  <c r="M400" i="10"/>
  <c r="M365" i="10"/>
  <c r="M364" i="10"/>
  <c r="M328" i="10"/>
  <c r="M327" i="10"/>
  <c r="M326" i="10"/>
  <c r="E278" i="10"/>
  <c r="M288" i="10"/>
  <c r="M287" i="10"/>
  <c r="M286" i="10"/>
  <c r="K251" i="10"/>
  <c r="M249" i="10"/>
  <c r="M248" i="10"/>
  <c r="M247" i="10"/>
  <c r="E204" i="10"/>
  <c r="K215" i="10"/>
  <c r="M213" i="10"/>
  <c r="M212" i="10"/>
  <c r="M211" i="10"/>
  <c r="K179" i="10"/>
  <c r="M175" i="10"/>
  <c r="M180" i="10" s="1"/>
  <c r="M182" i="10" s="1"/>
  <c r="M145" i="10"/>
  <c r="M109" i="10"/>
  <c r="M111" i="10" s="1"/>
  <c r="M292" i="10" l="1"/>
  <c r="M294" i="10" s="1"/>
  <c r="M253" i="10"/>
  <c r="M217" i="10"/>
  <c r="M481" i="10"/>
  <c r="Q248" i="10"/>
  <c r="T6" i="10"/>
  <c r="AA6" i="10"/>
  <c r="T7" i="10"/>
  <c r="AA7" i="10"/>
  <c r="T8" i="10"/>
  <c r="T9" i="10"/>
  <c r="Y50" i="10"/>
  <c r="AA50" i="10" s="1"/>
  <c r="T50" i="10"/>
  <c r="Y49" i="10"/>
  <c r="AA49" i="10" s="1"/>
  <c r="T49" i="10"/>
  <c r="Y48" i="10"/>
  <c r="AA48" i="10" s="1"/>
  <c r="T48" i="10"/>
  <c r="Y47" i="10"/>
  <c r="AA47" i="10" s="1"/>
  <c r="T47" i="10"/>
  <c r="Y46" i="10"/>
  <c r="AA46" i="10" s="1"/>
  <c r="T46" i="10"/>
  <c r="Y45" i="10"/>
  <c r="AA45" i="10" s="1"/>
  <c r="T45" i="10"/>
  <c r="Y44" i="10"/>
  <c r="AA44" i="10" s="1"/>
  <c r="T44" i="10"/>
  <c r="Y43" i="10"/>
  <c r="AA43" i="10" s="1"/>
  <c r="T43" i="10"/>
  <c r="Y42" i="10"/>
  <c r="AA42" i="10" s="1"/>
  <c r="T42" i="10"/>
  <c r="Y41" i="10"/>
  <c r="AA41" i="10" s="1"/>
  <c r="T41" i="10"/>
  <c r="Y40" i="10"/>
  <c r="AA40" i="10" s="1"/>
  <c r="T40" i="10"/>
  <c r="Y39" i="10"/>
  <c r="AA39" i="10" s="1"/>
  <c r="T39" i="10"/>
  <c r="Y38" i="10"/>
  <c r="AA38" i="10" s="1"/>
  <c r="T38" i="10"/>
  <c r="Y37" i="10"/>
  <c r="AA37" i="10" s="1"/>
  <c r="T37" i="10"/>
  <c r="Y36" i="10"/>
  <c r="AA36" i="10" s="1"/>
  <c r="T36" i="10"/>
  <c r="Y35" i="10"/>
  <c r="AA35" i="10" s="1"/>
  <c r="T35" i="10"/>
  <c r="AA34" i="10"/>
  <c r="T34" i="10"/>
  <c r="AA33" i="10"/>
  <c r="T33" i="10"/>
  <c r="AA32" i="10"/>
  <c r="T32" i="10"/>
  <c r="AA31" i="10"/>
  <c r="T31" i="10"/>
  <c r="AA30" i="10"/>
  <c r="T30" i="10"/>
  <c r="AA29" i="10"/>
  <c r="T29" i="10"/>
  <c r="AA28" i="10"/>
  <c r="T28" i="10"/>
  <c r="AA27" i="10"/>
  <c r="T27" i="10"/>
  <c r="AA26" i="10"/>
  <c r="T26" i="10"/>
  <c r="AA25" i="10"/>
  <c r="T25" i="10"/>
  <c r="AA24" i="10"/>
  <c r="T24" i="10"/>
  <c r="AA23" i="10"/>
  <c r="T23" i="10"/>
  <c r="AA22" i="10"/>
  <c r="T22" i="10"/>
  <c r="AA21" i="10"/>
  <c r="T21" i="10"/>
  <c r="AA20" i="10"/>
  <c r="T20" i="10"/>
  <c r="AA19" i="10"/>
  <c r="T19" i="10"/>
  <c r="AA18" i="10"/>
  <c r="T18" i="10"/>
  <c r="AA17" i="10"/>
  <c r="T17" i="10"/>
  <c r="AA16" i="10"/>
  <c r="T16" i="10"/>
  <c r="AA15" i="10"/>
  <c r="T15" i="10"/>
  <c r="AA14" i="10"/>
  <c r="T14" i="10"/>
  <c r="AA13" i="10"/>
  <c r="T13" i="10"/>
  <c r="AA12" i="10"/>
  <c r="T12" i="10"/>
  <c r="AA11" i="10"/>
  <c r="T11" i="10"/>
  <c r="AA10" i="10"/>
  <c r="T10" i="10"/>
  <c r="T5" i="10"/>
  <c r="AA5" i="10"/>
  <c r="K60" i="10" l="1"/>
  <c r="K93" i="10" s="1"/>
  <c r="K96" i="10" s="1"/>
  <c r="K130" i="10" s="1"/>
  <c r="K133" i="10" s="1"/>
  <c r="K166" i="10" s="1"/>
  <c r="K169" i="10" s="1"/>
  <c r="K202" i="10" s="1"/>
  <c r="K205" i="10" s="1"/>
  <c r="K238" i="10" s="1"/>
  <c r="K241" i="10" s="1"/>
  <c r="K276" i="10" s="1"/>
  <c r="K279" i="10" s="1"/>
  <c r="K317" i="10" s="1"/>
  <c r="K320" i="10" s="1"/>
  <c r="K354" i="10" s="1"/>
  <c r="K357" i="10" s="1"/>
  <c r="K391" i="10" s="1"/>
  <c r="K433" i="10" s="1"/>
  <c r="K466" i="10" s="1"/>
  <c r="K469" i="10" s="1"/>
  <c r="E93" i="10"/>
  <c r="E96" i="10" s="1"/>
  <c r="E130" i="10" s="1"/>
  <c r="E133" i="10" s="1"/>
  <c r="E166" i="10" s="1"/>
  <c r="E169" i="10" s="1"/>
  <c r="E202" i="10" s="1"/>
  <c r="E205" i="10" s="1"/>
  <c r="E238" i="10" s="1"/>
  <c r="E241" i="10" s="1"/>
  <c r="E276" i="10" s="1"/>
  <c r="E279" i="10" s="1"/>
  <c r="E317" i="10" s="1"/>
  <c r="T51" i="10"/>
  <c r="F51" i="10"/>
  <c r="M51" i="10"/>
  <c r="AA51" i="10"/>
  <c r="E320" i="10" l="1"/>
  <c r="E354" i="10" s="1"/>
  <c r="E357" i="10" s="1"/>
  <c r="E391" i="10" s="1"/>
  <c r="E394" i="10" s="1"/>
  <c r="E430" i="10" s="1"/>
  <c r="E433" i="10" s="1"/>
  <c r="E466" i="10" s="1"/>
  <c r="E469" i="10" s="1"/>
  <c r="AJ133" i="1"/>
  <c r="AJ134" i="1"/>
  <c r="AJ135" i="1"/>
  <c r="AJ136" i="1"/>
  <c r="AJ137" i="1"/>
  <c r="AJ138" i="1"/>
  <c r="AJ139" i="1"/>
  <c r="AJ140" i="1"/>
  <c r="AJ141" i="1" l="1"/>
  <c r="AH394" i="1"/>
  <c r="AH362" i="1"/>
  <c r="AH331" i="1"/>
  <c r="AH300" i="1"/>
  <c r="AH269" i="1"/>
  <c r="AH203" i="1"/>
  <c r="AH172" i="1"/>
  <c r="AH141" i="1"/>
  <c r="AH110" i="1"/>
  <c r="AI394" i="1" l="1"/>
  <c r="AI404" i="1" s="1"/>
  <c r="Y28" i="1" l="1"/>
  <c r="AA28" i="1" s="1"/>
  <c r="AH238" i="1" l="1"/>
  <c r="R5" i="1" s="1"/>
  <c r="AJ238" i="1"/>
  <c r="T5" i="1" l="1"/>
  <c r="T67" i="1" s="1"/>
  <c r="Y5" i="1"/>
  <c r="AA5" i="1" s="1"/>
  <c r="AA67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2EC637-AC7E-44B2-86D9-746F8746DB7C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B5D0FE3A-6B5B-4DBE-8215-BE4B993D95E5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4E17A8FF-19E9-4676-AEB6-0E0F048FAD9B}" keepAlive="1" name="Query - TESTIM" description="Connection to the 'TESTIM' query in the workbook." type="5" refreshedVersion="6" background="1" saveData="1">
    <dbPr connection="Provider=Microsoft.Mashup.OleDb.1;Data Source=$Workbook$;Location=TESTIM;Extended Properties=&quot;&quot;" command="SELECT * FROM [TESTIM]"/>
  </connection>
  <connection id="4" xr16:uid="{D7ED12DB-089D-4AAE-8990-7A34E34BC93B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F86E7833-9B15-48B7-BF0C-F39970908D0B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<sst xmlns="http://schemas.openxmlformats.org/spreadsheetml/2006/main" count="2393" uniqueCount="549">
  <si>
    <t>STOKU ME FATURA</t>
  </si>
  <si>
    <t>STOKU FILLESTAR 2024</t>
  </si>
  <si>
    <t>NR.</t>
  </si>
  <si>
    <t>Njesia</t>
  </si>
  <si>
    <t>Emertimi Produktit</t>
  </si>
  <si>
    <t xml:space="preserve">Sasia </t>
  </si>
  <si>
    <t>Cmimi pa TVSH</t>
  </si>
  <si>
    <t>Vlera</t>
  </si>
  <si>
    <t>Profile Alumini</t>
  </si>
  <si>
    <t>Totali</t>
  </si>
  <si>
    <t>BLERJET E PRODUKTEVE</t>
  </si>
  <si>
    <t>SHITJET E FATURAVE TE RREGULLTA</t>
  </si>
  <si>
    <t>STOKU PERFUNDIMTAR</t>
  </si>
  <si>
    <t>JANAR</t>
  </si>
  <si>
    <t>DATA</t>
  </si>
  <si>
    <t>NR.FATURES</t>
  </si>
  <si>
    <t>EMRI FIRMES</t>
  </si>
  <si>
    <t xml:space="preserve">SASIA </t>
  </si>
  <si>
    <t>TOTALI ME TVSH</t>
  </si>
  <si>
    <t>PAGESA</t>
  </si>
  <si>
    <t xml:space="preserve">SASIA KG </t>
  </si>
  <si>
    <t>SHKURT</t>
  </si>
  <si>
    <t>MARS</t>
  </si>
  <si>
    <t>PRILL</t>
  </si>
  <si>
    <t>MAJ</t>
  </si>
  <si>
    <t>QESHOR</t>
  </si>
  <si>
    <t>KORRIK</t>
  </si>
  <si>
    <t>GUSHT</t>
  </si>
  <si>
    <t>SHTATOR</t>
  </si>
  <si>
    <t>TETOR</t>
  </si>
  <si>
    <t>NENTORE</t>
  </si>
  <si>
    <t>DHJETORE</t>
  </si>
  <si>
    <t>Alumin Panel BOND</t>
  </si>
  <si>
    <t xml:space="preserve">Gumina per aksesore </t>
  </si>
  <si>
    <t>kg</t>
  </si>
  <si>
    <t>m</t>
  </si>
  <si>
    <t xml:space="preserve">Mantesha te vogla </t>
  </si>
  <si>
    <t>cop</t>
  </si>
  <si>
    <t>Dorez Dritare</t>
  </si>
  <si>
    <t>Dorez e thjeshte Dere</t>
  </si>
  <si>
    <t>Gone Rreshqitese</t>
  </si>
  <si>
    <t>Brava Dyer Dritare</t>
  </si>
  <si>
    <t>Bilbil Plastike</t>
  </si>
  <si>
    <t>Mantesha Rreshqitese</t>
  </si>
  <si>
    <t>Spajolet Plastike</t>
  </si>
  <si>
    <t>Mantesha te mesme</t>
  </si>
  <si>
    <t>Astina</t>
  </si>
  <si>
    <t>Gomine Fashete</t>
  </si>
  <si>
    <t>Gomine Vertikale</t>
  </si>
  <si>
    <t>Tobular</t>
  </si>
  <si>
    <t>Mantesha te Mdhaja 2</t>
  </si>
  <si>
    <t>Skuadreta 0335</t>
  </si>
  <si>
    <t>Gomine Palosje 015</t>
  </si>
  <si>
    <t>Furqe nr 7 M300</t>
  </si>
  <si>
    <t>Shula te thjeshte</t>
  </si>
  <si>
    <t>Gomine Horizontale</t>
  </si>
  <si>
    <t>ml</t>
  </si>
  <si>
    <t>m2</t>
  </si>
  <si>
    <t>STOKU ME LETRA</t>
  </si>
  <si>
    <t>-</t>
  </si>
  <si>
    <t>STOKU PA LETRA</t>
  </si>
  <si>
    <t>DUDI</t>
  </si>
  <si>
    <t>SHITJA</t>
  </si>
  <si>
    <t>STOKU AKTUAL ME LETRA</t>
  </si>
  <si>
    <t>STOKU AKTUAL PA LETRA</t>
  </si>
  <si>
    <t>DATA:</t>
  </si>
  <si>
    <t>ALUMIN</t>
  </si>
  <si>
    <t xml:space="preserve">ALUMIN TERMIK </t>
  </si>
  <si>
    <t xml:space="preserve">ALUMIN PALY </t>
  </si>
  <si>
    <t>AKSORE</t>
  </si>
  <si>
    <t>FITA</t>
  </si>
  <si>
    <t>SASIA</t>
  </si>
  <si>
    <t>QMIMI</t>
  </si>
  <si>
    <t>TOTALI</t>
  </si>
  <si>
    <t xml:space="preserve">SASIA E KG ME LETRA </t>
  </si>
  <si>
    <t>NR.FAT</t>
  </si>
  <si>
    <t xml:space="preserve">PAGESA </t>
  </si>
  <si>
    <t>PROFILE PVC</t>
  </si>
  <si>
    <t>PVC</t>
  </si>
  <si>
    <t>SASIA PVC</t>
  </si>
  <si>
    <t>Alumin Termik</t>
  </si>
  <si>
    <t>Alumin Paly</t>
  </si>
  <si>
    <t>SHITJET E FATURAVE</t>
  </si>
  <si>
    <t>STOKU</t>
  </si>
  <si>
    <t xml:space="preserve">PVC </t>
  </si>
  <si>
    <t>METRA</t>
  </si>
  <si>
    <t>DUDI-1</t>
  </si>
  <si>
    <t>KIT PORTE PALOSJE (RROTA AKORDI)</t>
  </si>
  <si>
    <t>set</t>
  </si>
  <si>
    <t>MANTESHA AKORDIONI (P. PALOSJE)</t>
  </si>
  <si>
    <t xml:space="preserve">P.PALOSJE SPAJOLETA+ KIT </t>
  </si>
  <si>
    <t>BRAV SCORREVOLE ME CELES, AKORD</t>
  </si>
  <si>
    <t>`</t>
  </si>
  <si>
    <t>AKSESO</t>
  </si>
  <si>
    <t>TOTAL SHIT</t>
  </si>
  <si>
    <t>JANARI 2024</t>
  </si>
  <si>
    <t>SASIA AL</t>
  </si>
  <si>
    <t>M</t>
  </si>
  <si>
    <t>PVC---M</t>
  </si>
  <si>
    <t>PVC L+Z+T</t>
  </si>
  <si>
    <t>LLAJSENET</t>
  </si>
  <si>
    <t>GUME HORIZONT BARRIERA TERMIKE</t>
  </si>
  <si>
    <t>NR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</si>
  <si>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</si>
  <si>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</si>
  <si>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</si>
  <si>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</si>
  <si>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</si>
  <si>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</si>
  <si>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</si>
  <si>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</si>
  <si>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</si>
  <si>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</si>
  <si>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</si>
  <si>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</si>
  <si>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</si>
  <si>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</si>
  <si>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</si>
  <si>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28 gushti</t>
  </si>
  <si>
    <t>pvc+ll</t>
  </si>
  <si>
    <t>L PROFIL ZINKTUAR</t>
  </si>
  <si>
    <t xml:space="preserve">SKUADRETA -ANKERA </t>
  </si>
  <si>
    <t>Gone e madhe 7007</t>
  </si>
  <si>
    <t xml:space="preserve">Gone fikse </t>
  </si>
  <si>
    <t>Gone fikse 7008</t>
  </si>
  <si>
    <t>Gone 0426</t>
  </si>
  <si>
    <t>Skuadreta me buton</t>
  </si>
  <si>
    <t>Gone 0461</t>
  </si>
  <si>
    <t>Mbulesa alumini kangjella 30641</t>
  </si>
  <si>
    <t>Gomine Xhami P03</t>
  </si>
  <si>
    <t>Kit per Kangjella 93000</t>
  </si>
  <si>
    <t>Gomine Sfungjer</t>
  </si>
  <si>
    <t>Gomine qendrore 71000</t>
  </si>
  <si>
    <t>Gomin qendrore 71000 shtese</t>
  </si>
  <si>
    <t>Gomine Kase</t>
  </si>
  <si>
    <t>Gomine xhami P08(8mm)</t>
  </si>
  <si>
    <t>Tapa per kangjella NFN7 120ml</t>
  </si>
  <si>
    <t>Tapa e binis 71000 perimetral</t>
  </si>
  <si>
    <t>..</t>
  </si>
  <si>
    <t>….</t>
  </si>
  <si>
    <t>totali</t>
  </si>
  <si>
    <t>pvc</t>
  </si>
  <si>
    <t>llajsen</t>
  </si>
  <si>
    <t>hekura</t>
  </si>
  <si>
    <t>shkurti</t>
  </si>
  <si>
    <t>hekur</t>
  </si>
  <si>
    <t>Guarnicione per dyer dritare</t>
  </si>
  <si>
    <t>Aksesore Metalike</t>
  </si>
  <si>
    <t>Skuadreta 0331</t>
  </si>
  <si>
    <t>Gomine me shtypje me 2 fleta 004</t>
  </si>
  <si>
    <t>Lamaqe C.E</t>
  </si>
  <si>
    <t>qese</t>
  </si>
  <si>
    <t>Pariziene 9005</t>
  </si>
  <si>
    <t>Spajolete Gjel 9005</t>
  </si>
  <si>
    <t xml:space="preserve">Kendore alumil </t>
  </si>
  <si>
    <t xml:space="preserve">Tapa Ganxhe Grandi </t>
  </si>
  <si>
    <t>cift</t>
  </si>
  <si>
    <t>Cilinder 35-75 Cisa</t>
  </si>
  <si>
    <t>Skuadreta 0389</t>
  </si>
  <si>
    <t xml:space="preserve">                                                                                                                                </t>
  </si>
  <si>
    <t>OK</t>
  </si>
  <si>
    <t>HEKUR</t>
  </si>
  <si>
    <t>TOTAL SHITAJA</t>
  </si>
  <si>
    <t>PVC+H</t>
  </si>
  <si>
    <t>5+6</t>
  </si>
  <si>
    <t>PVC -DALJE 4189</t>
  </si>
  <si>
    <t>01-30SHTATORI</t>
  </si>
  <si>
    <t>ok</t>
  </si>
  <si>
    <t xml:space="preserve"> </t>
  </si>
  <si>
    <t>1-31 tetorit</t>
  </si>
  <si>
    <t>02-15/11/2025</t>
  </si>
  <si>
    <t>…</t>
  </si>
  <si>
    <t>JANAR 2026</t>
  </si>
  <si>
    <t>08.01.2026</t>
  </si>
  <si>
    <t>01/2026</t>
  </si>
  <si>
    <t>CENI PLASTECH SHPK</t>
  </si>
  <si>
    <t>16.01.2026</t>
  </si>
  <si>
    <t>02/2026</t>
  </si>
  <si>
    <t>NIKA PRO ING SHPK</t>
  </si>
  <si>
    <t>22.01.2026</t>
  </si>
  <si>
    <t>03/2026</t>
  </si>
  <si>
    <t>VAXHID REXHEPAJ 442 PVC</t>
  </si>
  <si>
    <t>26.01.2026</t>
  </si>
  <si>
    <t>04/2026</t>
  </si>
  <si>
    <t>ENGINEERING RK SHPK</t>
  </si>
  <si>
    <t>05/2026</t>
  </si>
  <si>
    <t>DARDAN KUKA B.I</t>
  </si>
  <si>
    <t>27.01.2026</t>
  </si>
  <si>
    <t>06/2026</t>
  </si>
  <si>
    <t>07/2026</t>
  </si>
  <si>
    <t xml:space="preserve">EURO INVEST GROUP SHPK </t>
  </si>
  <si>
    <t>28.01.2026</t>
  </si>
  <si>
    <t>08/2026</t>
  </si>
  <si>
    <t>PLAST TEC SHPK</t>
  </si>
  <si>
    <t>03.02.2026</t>
  </si>
  <si>
    <t>TE LALI</t>
  </si>
  <si>
    <t>ALUBOND</t>
  </si>
  <si>
    <t>M2</t>
  </si>
  <si>
    <t xml:space="preserve">BLERJE </t>
  </si>
  <si>
    <t>e paguar</t>
  </si>
  <si>
    <t>papaguar</t>
  </si>
  <si>
    <t>02.02.2026</t>
  </si>
  <si>
    <t>009/2026</t>
  </si>
  <si>
    <t>MARS CILD SHPK</t>
  </si>
  <si>
    <t>E PAGUAR</t>
  </si>
  <si>
    <t>10/2026</t>
  </si>
  <si>
    <t>05.02.2026</t>
  </si>
  <si>
    <t>11/2026</t>
  </si>
  <si>
    <t>NDRIQIMI PLAST SHPK</t>
  </si>
  <si>
    <t>06.02.2026</t>
  </si>
  <si>
    <t>12/2026</t>
  </si>
  <si>
    <t>N SHPI CAFFE SHPK</t>
  </si>
  <si>
    <t>09.02.2026</t>
  </si>
  <si>
    <t>13/2026</t>
  </si>
  <si>
    <t>ENDI CENTER SHPK</t>
  </si>
  <si>
    <t>10.02.2026</t>
  </si>
  <si>
    <t>14/2026</t>
  </si>
  <si>
    <t>ENGINEERING RK, SHPK</t>
  </si>
  <si>
    <t>12.02.2026</t>
  </si>
  <si>
    <t>15/2026</t>
  </si>
  <si>
    <t>plast line llc</t>
  </si>
  <si>
    <t>14.02.2026</t>
  </si>
  <si>
    <t>16/2026</t>
  </si>
  <si>
    <t>17/2026</t>
  </si>
  <si>
    <t>16.02.2026</t>
  </si>
  <si>
    <t>18/2026</t>
  </si>
  <si>
    <t>ALBENI PLAST  SHPK</t>
  </si>
  <si>
    <t>18.02.2026</t>
  </si>
  <si>
    <t>19/2026</t>
  </si>
  <si>
    <t>LI BESI PVC SHPK</t>
  </si>
  <si>
    <t>13.A/2026</t>
  </si>
  <si>
    <t>LEONITI AL PVC SHPK</t>
  </si>
  <si>
    <t>19.02.2026</t>
  </si>
  <si>
    <t>20/2026</t>
  </si>
  <si>
    <t>learti  b,i</t>
  </si>
  <si>
    <t>20.02.2026</t>
  </si>
  <si>
    <t>21/2026</t>
  </si>
  <si>
    <t>AL PLAST U PVC</t>
  </si>
  <si>
    <t>22.02.2026</t>
  </si>
  <si>
    <t>22/2026</t>
  </si>
  <si>
    <t>25.02.2026</t>
  </si>
  <si>
    <t>23/2026</t>
  </si>
  <si>
    <t>MOBILERIA TONI SHPK</t>
  </si>
  <si>
    <t>27.02.2026</t>
  </si>
  <si>
    <t>24/2026</t>
  </si>
  <si>
    <t>KOLEGJI UNIVERSUM KU L.L.C</t>
  </si>
  <si>
    <t>02.03.2026</t>
  </si>
  <si>
    <t>25/2026</t>
  </si>
  <si>
    <t>CENI PLASTECH SH.P.K</t>
  </si>
  <si>
    <t>09/2026</t>
  </si>
  <si>
    <t>MARS COLD SHPK</t>
  </si>
  <si>
    <t>NDRIQIMI PLAST SH.P.K</t>
  </si>
  <si>
    <t>N SHPI COFFEE SH.P.K</t>
  </si>
  <si>
    <t>13A./2026</t>
  </si>
  <si>
    <t>PLAST LINE L.LC</t>
  </si>
  <si>
    <t>AL BENI PLAST SHPK</t>
  </si>
  <si>
    <t>LI BESI GLASS PVC SHPK</t>
  </si>
  <si>
    <t>QAMIL SADIKU B.I</t>
  </si>
  <si>
    <t>AL PLAST UPVC SHPK</t>
  </si>
  <si>
    <t>1420 kg</t>
  </si>
  <si>
    <t>euro</t>
  </si>
  <si>
    <t>05.03.2026</t>
  </si>
  <si>
    <t>26/2026</t>
  </si>
  <si>
    <t>10.03.2026</t>
  </si>
  <si>
    <t>28/2026</t>
  </si>
  <si>
    <t>FLORA  C SHPK</t>
  </si>
  <si>
    <t>06.03.2026</t>
  </si>
  <si>
    <t>27/2026</t>
  </si>
  <si>
    <t>12.03.2026</t>
  </si>
  <si>
    <t>29/2026</t>
  </si>
  <si>
    <t>plastac shpk bedri</t>
  </si>
  <si>
    <t>DUDI     R-5473</t>
  </si>
  <si>
    <t>DUDI    R-5473</t>
  </si>
  <si>
    <t>30/2026</t>
  </si>
  <si>
    <t>EUROINVEST GROUP SHPK</t>
  </si>
  <si>
    <t>16.03.2026</t>
  </si>
  <si>
    <t>31/2026</t>
  </si>
  <si>
    <t>FITIMI R PLAST SHPK</t>
  </si>
  <si>
    <t>18.03.2026</t>
  </si>
  <si>
    <t>32/2026</t>
  </si>
  <si>
    <t>VALI RANCH SHPK +AKSESOR</t>
  </si>
  <si>
    <t>23.03.2026</t>
  </si>
  <si>
    <t>33/2026</t>
  </si>
  <si>
    <t>AL-PLAST UOVC SHPK</t>
  </si>
  <si>
    <t>34/2026</t>
  </si>
  <si>
    <t>EUROMETAL GROUP SHPK</t>
  </si>
  <si>
    <t>25.03.2026</t>
  </si>
  <si>
    <t>35/2026</t>
  </si>
  <si>
    <t>EURO ABI SHPK</t>
  </si>
  <si>
    <t>26.03.2026</t>
  </si>
  <si>
    <t>36/2026</t>
  </si>
  <si>
    <t>INTECCOMSHPK</t>
  </si>
  <si>
    <t>27.03.2026</t>
  </si>
  <si>
    <t>37/2026</t>
  </si>
  <si>
    <t>ENGINNERING RK SHPK</t>
  </si>
  <si>
    <t>38/2026</t>
  </si>
  <si>
    <t>ERINA PLASTE BEKA</t>
  </si>
  <si>
    <t>31.03.2026</t>
  </si>
  <si>
    <t>39/2026</t>
  </si>
  <si>
    <t>3 TERPEZA SALIU</t>
  </si>
  <si>
    <t>RBK</t>
  </si>
  <si>
    <t>BKT</t>
  </si>
  <si>
    <t>40/2026</t>
  </si>
  <si>
    <t>ALO PLAST GROUP SHPK</t>
  </si>
  <si>
    <t>rbk</t>
  </si>
  <si>
    <t>bkt</t>
  </si>
  <si>
    <t>02.04.2026</t>
  </si>
  <si>
    <t>DUDI     R-10898</t>
  </si>
  <si>
    <t>MARSI</t>
  </si>
  <si>
    <t>01.04.2026</t>
  </si>
  <si>
    <t>41/2026</t>
  </si>
  <si>
    <t>15.04.2026</t>
  </si>
  <si>
    <t>42/2026</t>
  </si>
  <si>
    <t>viva FLY SHPK</t>
  </si>
  <si>
    <t>16.04.2026</t>
  </si>
  <si>
    <t>43/2026</t>
  </si>
  <si>
    <t>HSB GROUP SHPK</t>
  </si>
  <si>
    <t>44/2026</t>
  </si>
  <si>
    <t>P&amp;I SHPK</t>
  </si>
  <si>
    <t>45/2026</t>
  </si>
  <si>
    <t>46/2026</t>
  </si>
  <si>
    <t>PAPAGUAR</t>
  </si>
  <si>
    <t>17.04.2026</t>
  </si>
  <si>
    <t>47/2026</t>
  </si>
  <si>
    <t>BKT+RBK=900+900</t>
  </si>
  <si>
    <t>e PAGUAR</t>
  </si>
  <si>
    <t>18.04.2024</t>
  </si>
  <si>
    <t>48/2026</t>
  </si>
  <si>
    <t>20.04.2026</t>
  </si>
  <si>
    <t>49/2026</t>
  </si>
  <si>
    <t>21.04.2026</t>
  </si>
  <si>
    <t>50/2026</t>
  </si>
  <si>
    <t>GAG PLASTIK L,L,U</t>
  </si>
  <si>
    <t>24.04.2026</t>
  </si>
  <si>
    <t>51/2026</t>
  </si>
  <si>
    <t>A.RRPLAST SHPK</t>
  </si>
  <si>
    <t>52/2026</t>
  </si>
  <si>
    <t>27.04.2026</t>
  </si>
  <si>
    <t>53/2026</t>
  </si>
  <si>
    <t>ECHAPHA SHPK</t>
  </si>
  <si>
    <t>29.04.2026</t>
  </si>
  <si>
    <t>54/2026</t>
  </si>
  <si>
    <t>04.05.2026</t>
  </si>
  <si>
    <t>55/2026</t>
  </si>
  <si>
    <t>56/2026</t>
  </si>
  <si>
    <t>57/2026</t>
  </si>
  <si>
    <t>05.05.2026</t>
  </si>
  <si>
    <t>58/2026</t>
  </si>
  <si>
    <t>59/2026</t>
  </si>
  <si>
    <t>URIMI PLAST SHPK</t>
  </si>
  <si>
    <t>60/2026</t>
  </si>
  <si>
    <t>06.05.2026</t>
  </si>
  <si>
    <t>61/2026</t>
  </si>
  <si>
    <t>62/2026</t>
  </si>
  <si>
    <t xml:space="preserve">PREKOS GRUP SHPK </t>
  </si>
  <si>
    <t>63/2026</t>
  </si>
  <si>
    <t>07.05.2026</t>
  </si>
  <si>
    <t>64/2026</t>
  </si>
  <si>
    <t>INTERCOMM SHPK</t>
  </si>
  <si>
    <t>65/2026</t>
  </si>
  <si>
    <t>12.05.2026</t>
  </si>
  <si>
    <t>66/2026</t>
  </si>
  <si>
    <t>28.04.2026</t>
  </si>
  <si>
    <t>eltoni</t>
  </si>
  <si>
    <t>14.05.2026</t>
  </si>
  <si>
    <t>18.05.2026</t>
  </si>
  <si>
    <t>67/2026</t>
  </si>
  <si>
    <t>front park shpk-Bajrami</t>
  </si>
  <si>
    <t>22.05.2026</t>
  </si>
  <si>
    <t>68/2026</t>
  </si>
  <si>
    <t>dw plast shpki Himi</t>
  </si>
  <si>
    <t>25.05.2026</t>
  </si>
  <si>
    <t>69/2026</t>
  </si>
  <si>
    <t>26.05.2026</t>
  </si>
  <si>
    <t>70/2026</t>
  </si>
  <si>
    <t>fitimi r plast shpk</t>
  </si>
  <si>
    <t>01.06.2026</t>
  </si>
  <si>
    <t>71/2026</t>
  </si>
  <si>
    <t>front park shpk</t>
  </si>
  <si>
    <t>02.06.2026</t>
  </si>
  <si>
    <t>72/2026</t>
  </si>
  <si>
    <t>03.06.2026</t>
  </si>
  <si>
    <t>73/2026</t>
  </si>
  <si>
    <t>05.06.2026</t>
  </si>
  <si>
    <t>74/2026</t>
  </si>
  <si>
    <t>LIAL HC SHPK  LIRIKI SAJKI</t>
  </si>
  <si>
    <t>08.06.2026</t>
  </si>
  <si>
    <t>75/2026</t>
  </si>
  <si>
    <t>QESHOR 2026</t>
  </si>
  <si>
    <t>MAJ 2026</t>
  </si>
  <si>
    <t>PRILL 2026</t>
  </si>
  <si>
    <t>MARS 2026</t>
  </si>
  <si>
    <t>SHKURT 2026</t>
  </si>
  <si>
    <t>KORRIK 2026</t>
  </si>
  <si>
    <t>GUSHT 2026</t>
  </si>
  <si>
    <t>SHTATOR 2026</t>
  </si>
  <si>
    <t>TETOR 2026</t>
  </si>
  <si>
    <t>NENTOR 2026</t>
  </si>
  <si>
    <t>DHJETOR 2026</t>
  </si>
  <si>
    <t>10.06.2026</t>
  </si>
  <si>
    <t>76/2026</t>
  </si>
  <si>
    <r>
      <t>Windor tech shpk</t>
    </r>
    <r>
      <rPr>
        <b/>
        <sz val="11"/>
        <color rgb="FFFF0000"/>
        <rFont val="Calibri"/>
        <family val="2"/>
        <scheme val="minor"/>
      </rPr>
      <t>-destan</t>
    </r>
  </si>
  <si>
    <t>12.06.2026</t>
  </si>
  <si>
    <t>77/2026</t>
  </si>
  <si>
    <t>evisi windovs shpk</t>
  </si>
  <si>
    <t>78/2026</t>
  </si>
  <si>
    <t>meti kolor shpk</t>
  </si>
  <si>
    <t>13.06.2026</t>
  </si>
  <si>
    <t>79/2026</t>
  </si>
  <si>
    <t>80/2026</t>
  </si>
  <si>
    <t>16.06.2026</t>
  </si>
  <si>
    <t>VIVA FLY SHPK</t>
  </si>
  <si>
    <t>18.06.2026</t>
  </si>
  <si>
    <t>81/2026</t>
  </si>
  <si>
    <t>DESING PRIOCT SHPENDI</t>
  </si>
  <si>
    <t>19.06.2026</t>
  </si>
  <si>
    <t>82/2026</t>
  </si>
  <si>
    <t>83/2026</t>
  </si>
  <si>
    <t>CENI PLAST SHPK</t>
  </si>
  <si>
    <t>22.06.2026</t>
  </si>
  <si>
    <t>84/2026</t>
  </si>
  <si>
    <t>PLASTECH SHPK</t>
  </si>
  <si>
    <t>85/2026</t>
  </si>
  <si>
    <t>29.06.2026</t>
  </si>
  <si>
    <t>86/2026</t>
  </si>
  <si>
    <t xml:space="preserve">TOTAL </t>
  </si>
  <si>
    <t>30.06.2026</t>
  </si>
  <si>
    <t>87/2026</t>
  </si>
  <si>
    <t xml:space="preserve">astriti k  limani </t>
  </si>
  <si>
    <t>07.07.2026</t>
  </si>
  <si>
    <t>R-29191</t>
  </si>
  <si>
    <t>R-8647</t>
  </si>
  <si>
    <t>01.07.2026</t>
  </si>
  <si>
    <t>88/2026</t>
  </si>
  <si>
    <t>ARLIND BISLIMI B.I</t>
  </si>
  <si>
    <t>89/2026</t>
  </si>
  <si>
    <t>03.07.2026</t>
  </si>
  <si>
    <t>06.07.2026</t>
  </si>
  <si>
    <t>90/2026</t>
  </si>
  <si>
    <t>91/2026</t>
  </si>
  <si>
    <t>92/2026</t>
  </si>
  <si>
    <t>09.07.2026</t>
  </si>
  <si>
    <t>93/2026</t>
  </si>
  <si>
    <t>NDRIQIMI SHPK</t>
  </si>
  <si>
    <t>94/2026</t>
  </si>
  <si>
    <t>ELVISI SHPK B AJRAMI</t>
  </si>
  <si>
    <t>10.07.2026</t>
  </si>
  <si>
    <t>95/2026</t>
  </si>
  <si>
    <t>EURO INVESTI SHPK  RASIM</t>
  </si>
  <si>
    <t>11.07.2026</t>
  </si>
  <si>
    <t>96/2026</t>
  </si>
  <si>
    <t>P&amp;I SHPK  ISA</t>
  </si>
  <si>
    <t>89 A/2026</t>
  </si>
  <si>
    <t>AHMETI BI VITI</t>
  </si>
  <si>
    <t>e papagur</t>
  </si>
  <si>
    <t>14.07.2026</t>
  </si>
  <si>
    <t>97/2026</t>
  </si>
  <si>
    <t>MOREA SH.P.K</t>
  </si>
  <si>
    <t>98/2026</t>
  </si>
  <si>
    <t>IZER SYLEJMANI B.I</t>
  </si>
  <si>
    <t>99/2026</t>
  </si>
  <si>
    <t>ECOALPHA SH.P.K</t>
  </si>
  <si>
    <t>21.07.2026</t>
  </si>
  <si>
    <t>TUKI GRUP</t>
  </si>
  <si>
    <t>100/2026</t>
  </si>
  <si>
    <t>22.07.2026</t>
  </si>
  <si>
    <t>101/2026</t>
  </si>
  <si>
    <t>nvn shpk</t>
  </si>
  <si>
    <t>22.7.2026</t>
  </si>
  <si>
    <t>102/2026</t>
  </si>
  <si>
    <t>23.07.2026</t>
  </si>
  <si>
    <t>103/2026</t>
  </si>
  <si>
    <t>24.07.2026</t>
  </si>
  <si>
    <t>104/2026</t>
  </si>
  <si>
    <t xml:space="preserve">EMI HOME DARDEN SHPK </t>
  </si>
  <si>
    <t>105/2026</t>
  </si>
  <si>
    <t>28.07.2026</t>
  </si>
  <si>
    <t>106/2026</t>
  </si>
  <si>
    <t>flora c shpk</t>
  </si>
  <si>
    <t>korriku</t>
  </si>
  <si>
    <t>30.07.2026</t>
  </si>
  <si>
    <t>107/2026</t>
  </si>
  <si>
    <t>qamili sadiku b.i</t>
  </si>
  <si>
    <t>108/2026</t>
  </si>
  <si>
    <t>109/2026</t>
  </si>
  <si>
    <t>al-plast upvc shpk</t>
  </si>
  <si>
    <t>31.07.2026</t>
  </si>
  <si>
    <t>110/2026</t>
  </si>
  <si>
    <t>engenieering rk shpk</t>
  </si>
  <si>
    <t>111/2026</t>
  </si>
  <si>
    <t>03.08.2026</t>
  </si>
  <si>
    <t>112/2026</t>
  </si>
  <si>
    <t>05.08.2026</t>
  </si>
  <si>
    <t>113/2026</t>
  </si>
  <si>
    <t>MS DORES WINDOWS SHPK</t>
  </si>
  <si>
    <t>114/2026</t>
  </si>
  <si>
    <t>ECOALPHA SHPK</t>
  </si>
  <si>
    <t>06.08.2026</t>
  </si>
  <si>
    <t>115/2026</t>
  </si>
  <si>
    <t>ELVISI WINDOWS SHPK</t>
  </si>
  <si>
    <t xml:space="preserve"> rbk 9900</t>
  </si>
  <si>
    <t>bkt-</t>
  </si>
  <si>
    <t>bkt4+16+37</t>
  </si>
  <si>
    <t>bkt-798</t>
  </si>
  <si>
    <t>bkt-6000</t>
  </si>
  <si>
    <t>bkt-8000</t>
  </si>
  <si>
    <t>12.08.2026</t>
  </si>
  <si>
    <t>116/2026</t>
  </si>
  <si>
    <t>117/2026</t>
  </si>
  <si>
    <t>arch point shpk 998 pvc</t>
  </si>
  <si>
    <t>19.08.2026</t>
  </si>
  <si>
    <t>118/2026</t>
  </si>
  <si>
    <t>L,R,L PREMIUM SHPK</t>
  </si>
  <si>
    <t>Gomine jashte xhami 024</t>
  </si>
  <si>
    <t>e</t>
  </si>
  <si>
    <t>119/2026</t>
  </si>
  <si>
    <t>20.08.2026</t>
  </si>
  <si>
    <t>hsb group shpk</t>
  </si>
  <si>
    <t>21.08.2026</t>
  </si>
  <si>
    <t>120/2026</t>
  </si>
  <si>
    <t>QAMIL SADIKUM BI</t>
  </si>
  <si>
    <t>25.08.2026</t>
  </si>
  <si>
    <t>121/2026</t>
  </si>
  <si>
    <t>REAU GLASS SHPK</t>
  </si>
  <si>
    <t>122/2026</t>
  </si>
  <si>
    <t>03.09.2026</t>
  </si>
  <si>
    <t>123/2026</t>
  </si>
  <si>
    <t>Dardan kuka B.I</t>
  </si>
  <si>
    <t>124/2026</t>
  </si>
  <si>
    <t>EMI home garden shpk</t>
  </si>
  <si>
    <t>05.09.2026</t>
  </si>
  <si>
    <t>125/2026</t>
  </si>
  <si>
    <t>windor tech shpk</t>
  </si>
  <si>
    <t>09.09.2026</t>
  </si>
  <si>
    <t>126/2026</t>
  </si>
  <si>
    <t>plastec shpk</t>
  </si>
  <si>
    <t>127/2026</t>
  </si>
  <si>
    <t>omeri glass shpk</t>
  </si>
  <si>
    <t>10.09.2026</t>
  </si>
  <si>
    <t>128/2026</t>
  </si>
  <si>
    <t>AJ SOLUTIONS SHPK</t>
  </si>
  <si>
    <t>E PAPAGUAR</t>
  </si>
  <si>
    <t>11.09.2026</t>
  </si>
  <si>
    <t>129/2026</t>
  </si>
  <si>
    <t>ALTAAR SHPK</t>
  </si>
  <si>
    <t>14.09.2026</t>
  </si>
  <si>
    <t>130/2026</t>
  </si>
  <si>
    <t>14..09.2026</t>
  </si>
  <si>
    <t>131/2026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</si>
</sst>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sz val="12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i/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9"/>
      <color theme="1"/>
      <name val="Arial"/>
      <family val="2"/>
    </font>
    <font>
      <sz val="10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name val="Arial"/>
      <family val="2"/>
    </font>
    <font>
      <b/>
      <sz val="11"/>
      <color rgb="FFFA7D00"/>
      <name val="Calibri"/>
      <family val="2"/>
      <scheme val="minor"/>
    </font>
    <font>
      <sz val="10"/>
      <color theme="1"/>
      <name val="Arial"/>
      <family val="2"/>
    </font>
    <font>
      <sz val="11"/>
      <color theme="5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0"/>
      <color rgb="FFC00000"/>
      <name val="Arial"/>
      <family val="2"/>
    </font>
    <font>
      <b/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0"/>
      <name val="Arial"/>
      <family val="2"/>
    </font>
    <font>
      <sz val="11"/>
      <color rgb="FFEE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rgb="FF00B050"/>
      <name val="Calibri"/>
      <family val="2"/>
      <scheme val="minor"/>
    </font>
    <font>
      <sz val="16"/>
      <color rgb="FF00B05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7CE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6" borderId="0" applyNumberFormat="0" applyBorder="0" applyAlignment="0" applyProtection="0"/>
    <xf numFmtId="43" fontId="20" fillId="0" borderId="0" applyFont="0" applyFill="0" applyBorder="0" applyAlignment="0" applyProtection="0"/>
    <xf numFmtId="0" fontId="23" fillId="10" borderId="8" applyNumberFormat="0" applyAlignment="0" applyProtection="0"/>
  </cellStyleXfs>
  <cellXfs count="273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2" xfId="0" applyBorder="1" applyAlignment="1">
      <alignment horizontal="left"/>
    </xf>
    <xf numFmtId="0" fontId="0" fillId="3" borderId="1" xfId="0" applyFill="1" applyBorder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/>
    </xf>
    <xf numFmtId="0" fontId="2" fillId="4" borderId="0" xfId="0" applyFont="1" applyFill="1"/>
    <xf numFmtId="0" fontId="0" fillId="4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left"/>
    </xf>
    <xf numFmtId="0" fontId="0" fillId="4" borderId="4" xfId="0" applyFill="1" applyBorder="1"/>
    <xf numFmtId="0" fontId="3" fillId="4" borderId="4" xfId="0" applyFont="1" applyFill="1" applyBorder="1" applyAlignment="1">
      <alignment vertical="top"/>
    </xf>
    <xf numFmtId="0" fontId="2" fillId="5" borderId="0" xfId="0" applyFont="1" applyFill="1"/>
    <xf numFmtId="0" fontId="2" fillId="0" borderId="3" xfId="0" applyFont="1" applyBorder="1" applyAlignment="1">
      <alignment horizontal="center" vertical="center"/>
    </xf>
    <xf numFmtId="0" fontId="2" fillId="3" borderId="0" xfId="0" applyFont="1" applyFill="1"/>
    <xf numFmtId="0" fontId="4" fillId="4" borderId="0" xfId="0" applyFont="1" applyFill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49" fontId="7" fillId="0" borderId="2" xfId="0" applyNumberFormat="1" applyFont="1" applyBorder="1" applyAlignment="1">
      <alignment horizontal="center"/>
    </xf>
    <xf numFmtId="49" fontId="4" fillId="4" borderId="0" xfId="0" applyNumberFormat="1" applyFont="1" applyFill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4" borderId="4" xfId="0" applyNumberFormat="1" applyFill="1" applyBorder="1" applyAlignment="1">
      <alignment horizontal="center"/>
    </xf>
    <xf numFmtId="49" fontId="2" fillId="4" borderId="0" xfId="0" applyNumberFormat="1" applyFont="1" applyFill="1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9" fillId="7" borderId="0" xfId="0" applyFont="1" applyFill="1" applyAlignment="1">
      <alignment horizontal="left"/>
    </xf>
    <xf numFmtId="0" fontId="0" fillId="7" borderId="0" xfId="0" applyFill="1" applyAlignment="1">
      <alignment horizontal="center"/>
    </xf>
    <xf numFmtId="0" fontId="9" fillId="7" borderId="0" xfId="0" applyFont="1" applyFill="1" applyAlignment="1">
      <alignment horizontal="right"/>
    </xf>
    <xf numFmtId="0" fontId="0" fillId="7" borderId="0" xfId="0" applyFill="1" applyAlignment="1">
      <alignment horizontal="center" vertical="center"/>
    </xf>
    <xf numFmtId="0" fontId="9" fillId="7" borderId="0" xfId="0" applyFont="1" applyFill="1" applyAlignment="1">
      <alignment horizontal="center"/>
    </xf>
    <xf numFmtId="0" fontId="10" fillId="7" borderId="0" xfId="0" applyFont="1" applyFill="1"/>
    <xf numFmtId="0" fontId="0" fillId="7" borderId="0" xfId="0" applyFill="1"/>
    <xf numFmtId="0" fontId="9" fillId="7" borderId="0" xfId="0" applyFont="1" applyFill="1"/>
    <xf numFmtId="0" fontId="0" fillId="8" borderId="0" xfId="0" applyFill="1"/>
    <xf numFmtId="0" fontId="0" fillId="0" borderId="0" xfId="0" applyAlignment="1">
      <alignment horizontal="right"/>
    </xf>
    <xf numFmtId="0" fontId="11" fillId="0" borderId="0" xfId="0" applyFont="1" applyAlignment="1">
      <alignment horizontal="left" vertical="center"/>
    </xf>
    <xf numFmtId="0" fontId="0" fillId="0" borderId="0" xfId="0" quotePrefix="1" applyAlignment="1">
      <alignment horizontal="center" vertical="center"/>
    </xf>
    <xf numFmtId="0" fontId="11" fillId="0" borderId="4" xfId="0" applyFont="1" applyBorder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11" fillId="0" borderId="4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11" fillId="0" borderId="0" xfId="0" applyFont="1"/>
    <xf numFmtId="0" fontId="11" fillId="0" borderId="0" xfId="0" applyFont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0" xfId="0" applyFont="1"/>
    <xf numFmtId="0" fontId="7" fillId="2" borderId="0" xfId="0" applyFont="1" applyFill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7" fillId="0" borderId="6" xfId="0" applyFont="1" applyBorder="1"/>
    <xf numFmtId="0" fontId="7" fillId="2" borderId="7" xfId="0" applyFont="1" applyFill="1" applyBorder="1" applyAlignment="1">
      <alignment horizontal="left" vertical="center"/>
    </xf>
    <xf numFmtId="14" fontId="7" fillId="0" borderId="2" xfId="0" applyNumberFormat="1" applyFont="1" applyBorder="1" applyAlignment="1">
      <alignment horizontal="left"/>
    </xf>
    <xf numFmtId="14" fontId="14" fillId="0" borderId="2" xfId="0" applyNumberFormat="1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2" borderId="7" xfId="0" applyFont="1" applyFill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/>
    </xf>
    <xf numFmtId="49" fontId="14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6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7" fillId="2" borderId="7" xfId="0" applyFont="1" applyFill="1" applyBorder="1" applyAlignment="1">
      <alignment horizontal="right" vertical="center"/>
    </xf>
    <xf numFmtId="0" fontId="16" fillId="0" borderId="2" xfId="0" applyFont="1" applyBorder="1" applyAlignment="1">
      <alignment horizontal="right" vertical="center"/>
    </xf>
    <xf numFmtId="0" fontId="14" fillId="0" borderId="2" xfId="0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0" fontId="7" fillId="0" borderId="2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7" fillId="0" borderId="0" xfId="0" applyFont="1" applyAlignment="1">
      <alignment horizontal="right"/>
    </xf>
    <xf numFmtId="0" fontId="17" fillId="0" borderId="2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15" fillId="0" borderId="0" xfId="0" applyFont="1"/>
    <xf numFmtId="0" fontId="19" fillId="0" borderId="0" xfId="0" applyFont="1"/>
    <xf numFmtId="43" fontId="2" fillId="0" borderId="3" xfId="2" applyFont="1" applyBorder="1" applyAlignment="1">
      <alignment horizontal="center" vertical="center"/>
    </xf>
    <xf numFmtId="0" fontId="7" fillId="9" borderId="0" xfId="0" applyFont="1" applyFill="1" applyAlignment="1">
      <alignment horizontal="left" vertical="center"/>
    </xf>
    <xf numFmtId="0" fontId="0" fillId="9" borderId="0" xfId="0" applyFill="1" applyAlignment="1">
      <alignment horizontal="center" vertical="center"/>
    </xf>
    <xf numFmtId="0" fontId="7" fillId="9" borderId="2" xfId="0" applyFont="1" applyFill="1" applyBorder="1" applyAlignment="1">
      <alignment horizontal="center"/>
    </xf>
    <xf numFmtId="0" fontId="19" fillId="10" borderId="8" xfId="3" applyFont="1"/>
    <xf numFmtId="0" fontId="7" fillId="9" borderId="0" xfId="0" applyFont="1" applyFill="1"/>
    <xf numFmtId="14" fontId="0" fillId="0" borderId="0" xfId="0" applyNumberFormat="1"/>
    <xf numFmtId="14" fontId="14" fillId="9" borderId="2" xfId="0" applyNumberFormat="1" applyFont="1" applyFill="1" applyBorder="1" applyAlignment="1">
      <alignment horizontal="left"/>
    </xf>
    <xf numFmtId="49" fontId="14" fillId="9" borderId="2" xfId="0" applyNumberFormat="1" applyFont="1" applyFill="1" applyBorder="1" applyAlignment="1">
      <alignment horizontal="center"/>
    </xf>
    <xf numFmtId="0" fontId="14" fillId="9" borderId="2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right" vertical="center"/>
    </xf>
    <xf numFmtId="0" fontId="25" fillId="0" borderId="0" xfId="0" applyFont="1"/>
    <xf numFmtId="0" fontId="0" fillId="9" borderId="0" xfId="0" applyFill="1" applyAlignment="1">
      <alignment horizontal="center"/>
    </xf>
    <xf numFmtId="0" fontId="0" fillId="9" borderId="0" xfId="0" applyFill="1"/>
    <xf numFmtId="0" fontId="26" fillId="0" borderId="2" xfId="0" applyFont="1" applyBorder="1" applyAlignment="1">
      <alignment horizontal="center"/>
    </xf>
    <xf numFmtId="0" fontId="19" fillId="9" borderId="0" xfId="0" applyFont="1" applyFill="1"/>
    <xf numFmtId="0" fontId="16" fillId="0" borderId="2" xfId="0" applyFont="1" applyBorder="1" applyAlignment="1">
      <alignment horizontal="center"/>
    </xf>
    <xf numFmtId="0" fontId="16" fillId="0" borderId="0" xfId="0" applyFont="1"/>
    <xf numFmtId="0" fontId="26" fillId="0" borderId="0" xfId="0" applyFont="1"/>
    <xf numFmtId="0" fontId="16" fillId="9" borderId="0" xfId="0" applyFont="1" applyFill="1"/>
    <xf numFmtId="0" fontId="26" fillId="9" borderId="0" xfId="0" applyFont="1" applyFill="1"/>
    <xf numFmtId="0" fontId="27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9" fillId="0" borderId="2" xfId="0" applyFont="1" applyBorder="1" applyAlignment="1">
      <alignment horizontal="left"/>
    </xf>
    <xf numFmtId="0" fontId="19" fillId="0" borderId="2" xfId="0" applyFont="1" applyBorder="1" applyAlignment="1">
      <alignment horizontal="center"/>
    </xf>
    <xf numFmtId="0" fontId="19" fillId="0" borderId="2" xfId="0" applyFont="1" applyBorder="1" applyAlignment="1">
      <alignment horizontal="right"/>
    </xf>
    <xf numFmtId="0" fontId="19" fillId="0" borderId="2" xfId="0" applyFont="1" applyBorder="1" applyAlignment="1">
      <alignment horizontal="center" vertical="center"/>
    </xf>
    <xf numFmtId="14" fontId="19" fillId="0" borderId="2" xfId="0" applyNumberFormat="1" applyFont="1" applyBorder="1" applyAlignment="1">
      <alignment horizontal="left"/>
    </xf>
    <xf numFmtId="0" fontId="28" fillId="0" borderId="2" xfId="0" applyFont="1" applyBorder="1" applyAlignment="1">
      <alignment horizontal="left"/>
    </xf>
    <xf numFmtId="0" fontId="28" fillId="0" borderId="2" xfId="0" applyFont="1" applyBorder="1" applyAlignment="1">
      <alignment horizontal="center"/>
    </xf>
    <xf numFmtId="0" fontId="28" fillId="0" borderId="2" xfId="0" applyFont="1" applyBorder="1" applyAlignment="1">
      <alignment horizontal="right"/>
    </xf>
    <xf numFmtId="0" fontId="28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left"/>
    </xf>
    <xf numFmtId="49" fontId="0" fillId="0" borderId="4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" fontId="0" fillId="0" borderId="0" xfId="0" applyNumberFormat="1"/>
    <xf numFmtId="0" fontId="27" fillId="2" borderId="0" xfId="0" applyFont="1" applyFill="1"/>
    <xf numFmtId="14" fontId="7" fillId="2" borderId="2" xfId="0" applyNumberFormat="1" applyFont="1" applyFill="1" applyBorder="1" applyAlignment="1">
      <alignment horizontal="left"/>
    </xf>
    <xf numFmtId="0" fontId="18" fillId="0" borderId="0" xfId="0" applyFont="1"/>
    <xf numFmtId="0" fontId="24" fillId="0" borderId="0" xfId="0" applyFont="1"/>
    <xf numFmtId="0" fontId="29" fillId="0" borderId="2" xfId="0" applyFont="1" applyBorder="1" applyAlignment="1">
      <alignment horizontal="center"/>
    </xf>
    <xf numFmtId="0" fontId="32" fillId="0" borderId="2" xfId="1" applyFont="1" applyFill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right"/>
    </xf>
    <xf numFmtId="0" fontId="33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left"/>
    </xf>
    <xf numFmtId="0" fontId="33" fillId="0" borderId="2" xfId="0" applyFont="1" applyBorder="1"/>
    <xf numFmtId="0" fontId="0" fillId="4" borderId="2" xfId="0" applyFill="1" applyBorder="1" applyAlignment="1">
      <alignment horizontal="center"/>
    </xf>
    <xf numFmtId="49" fontId="7" fillId="4" borderId="2" xfId="0" applyNumberFormat="1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9" fontId="0" fillId="4" borderId="2" xfId="0" applyNumberFormat="1" applyFill="1" applyBorder="1" applyAlignment="1">
      <alignment horizontal="center"/>
    </xf>
    <xf numFmtId="0" fontId="19" fillId="4" borderId="2" xfId="0" applyFont="1" applyFill="1" applyBorder="1" applyAlignment="1">
      <alignment horizontal="center" vertical="center"/>
    </xf>
    <xf numFmtId="0" fontId="26" fillId="4" borderId="2" xfId="0" applyFont="1" applyFill="1" applyBorder="1" applyAlignment="1">
      <alignment horizontal="center" vertical="center"/>
    </xf>
    <xf numFmtId="0" fontId="32" fillId="4" borderId="2" xfId="0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/>
    </xf>
    <xf numFmtId="49" fontId="19" fillId="4" borderId="2" xfId="0" applyNumberFormat="1" applyFont="1" applyFill="1" applyBorder="1" applyAlignment="1">
      <alignment horizontal="center"/>
    </xf>
    <xf numFmtId="14" fontId="14" fillId="4" borderId="2" xfId="0" applyNumberFormat="1" applyFont="1" applyFill="1" applyBorder="1" applyAlignment="1">
      <alignment horizontal="left"/>
    </xf>
    <xf numFmtId="49" fontId="14" fillId="4" borderId="2" xfId="0" applyNumberFormat="1" applyFont="1" applyFill="1" applyBorder="1" applyAlignment="1">
      <alignment horizontal="center"/>
    </xf>
    <xf numFmtId="0" fontId="14" fillId="4" borderId="2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30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/>
    </xf>
    <xf numFmtId="0" fontId="8" fillId="4" borderId="2" xfId="0" applyFont="1" applyFill="1" applyBorder="1" applyAlignment="1">
      <alignment horizontal="center" vertical="center"/>
    </xf>
    <xf numFmtId="0" fontId="32" fillId="4" borderId="2" xfId="1" applyFont="1" applyFill="1" applyBorder="1" applyAlignment="1">
      <alignment horizontal="center" vertical="center"/>
    </xf>
    <xf numFmtId="0" fontId="27" fillId="4" borderId="2" xfId="0" applyFont="1" applyFill="1" applyBorder="1" applyAlignment="1">
      <alignment horizontal="center" vertical="center"/>
    </xf>
    <xf numFmtId="0" fontId="31" fillId="4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/>
    </xf>
    <xf numFmtId="0" fontId="8" fillId="0" borderId="2" xfId="0" applyFont="1" applyBorder="1"/>
    <xf numFmtId="0" fontId="8" fillId="0" borderId="2" xfId="0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49" fontId="0" fillId="0" borderId="2" xfId="0" applyNumberFormat="1" applyBorder="1" applyAlignment="1" applyProtection="1">
      <alignment shrinkToFit="1"/>
      <protection locked="0"/>
    </xf>
    <xf numFmtId="0" fontId="0" fillId="0" borderId="2" xfId="0" applyBorder="1" applyAlignment="1" applyProtection="1">
      <alignment shrinkToFit="1"/>
      <protection locked="0"/>
    </xf>
    <xf numFmtId="49" fontId="15" fillId="0" borderId="2" xfId="0" applyNumberFormat="1" applyFont="1" applyBorder="1" applyAlignment="1" applyProtection="1">
      <alignment shrinkToFit="1"/>
      <protection locked="0"/>
    </xf>
    <xf numFmtId="49" fontId="24" fillId="0" borderId="2" xfId="0" applyNumberFormat="1" applyFont="1" applyBorder="1" applyAlignment="1" applyProtection="1">
      <alignment shrinkToFit="1"/>
      <protection locked="0"/>
    </xf>
    <xf numFmtId="49" fontId="0" fillId="0" borderId="10" xfId="0" applyNumberFormat="1" applyBorder="1" applyAlignment="1" applyProtection="1">
      <alignment shrinkToFit="1"/>
      <protection locked="0"/>
    </xf>
    <xf numFmtId="0" fontId="15" fillId="0" borderId="2" xfId="0" applyFont="1" applyBorder="1"/>
    <xf numFmtId="0" fontId="15" fillId="0" borderId="2" xfId="0" applyFont="1" applyBorder="1" applyAlignment="1" applyProtection="1">
      <alignment shrinkToFit="1"/>
      <protection locked="0"/>
    </xf>
    <xf numFmtId="0" fontId="8" fillId="0" borderId="0" xfId="0" applyFont="1" applyAlignment="1">
      <alignment horizontal="center" vertical="center"/>
    </xf>
    <xf numFmtId="0" fontId="14" fillId="4" borderId="2" xfId="0" applyFont="1" applyFill="1" applyBorder="1" applyAlignment="1">
      <alignment horizontal="right" vertical="center"/>
    </xf>
    <xf numFmtId="0" fontId="7" fillId="4" borderId="2" xfId="0" applyFont="1" applyFill="1" applyBorder="1" applyAlignment="1">
      <alignment horizontal="right" vertical="center"/>
    </xf>
    <xf numFmtId="0" fontId="14" fillId="12" borderId="2" xfId="0" applyFont="1" applyFill="1" applyBorder="1" applyAlignment="1">
      <alignment horizontal="center"/>
    </xf>
    <xf numFmtId="14" fontId="7" fillId="4" borderId="2" xfId="0" applyNumberFormat="1" applyFont="1" applyFill="1" applyBorder="1" applyAlignment="1">
      <alignment horizontal="left"/>
    </xf>
    <xf numFmtId="0" fontId="30" fillId="4" borderId="2" xfId="0" applyFont="1" applyFill="1" applyBorder="1" applyAlignment="1">
      <alignment horizontal="center"/>
    </xf>
    <xf numFmtId="0" fontId="30" fillId="4" borderId="2" xfId="0" applyFont="1" applyFill="1" applyBorder="1" applyAlignment="1">
      <alignment horizontal="left"/>
    </xf>
    <xf numFmtId="0" fontId="27" fillId="0" borderId="9" xfId="0" applyFont="1" applyBorder="1" applyAlignment="1">
      <alignment horizontal="center" vertical="center"/>
    </xf>
    <xf numFmtId="0" fontId="12" fillId="0" borderId="0" xfId="0" applyFont="1"/>
    <xf numFmtId="0" fontId="14" fillId="4" borderId="2" xfId="0" applyFont="1" applyFill="1" applyBorder="1" applyAlignment="1">
      <alignment horizontal="center"/>
    </xf>
    <xf numFmtId="0" fontId="35" fillId="0" borderId="2" xfId="0" applyFont="1" applyBorder="1" applyAlignment="1">
      <alignment horizontal="center" vertical="center"/>
    </xf>
    <xf numFmtId="0" fontId="35" fillId="4" borderId="2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0" borderId="7" xfId="0" applyFont="1" applyBorder="1" applyAlignment="1">
      <alignment horizontal="left"/>
    </xf>
    <xf numFmtId="0" fontId="0" fillId="0" borderId="7" xfId="0" applyBorder="1"/>
    <xf numFmtId="0" fontId="8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left"/>
    </xf>
    <xf numFmtId="0" fontId="0" fillId="3" borderId="2" xfId="0" applyFill="1" applyBorder="1"/>
    <xf numFmtId="49" fontId="19" fillId="0" borderId="2" xfId="0" applyNumberFormat="1" applyFont="1" applyBorder="1" applyAlignment="1">
      <alignment horizontal="center"/>
    </xf>
    <xf numFmtId="49" fontId="15" fillId="0" borderId="10" xfId="0" applyNumberFormat="1" applyFont="1" applyBorder="1" applyAlignment="1" applyProtection="1">
      <alignment shrinkToFit="1"/>
      <protection locked="0"/>
    </xf>
    <xf numFmtId="0" fontId="36" fillId="0" borderId="2" xfId="0" applyFont="1" applyBorder="1" applyAlignment="1">
      <alignment horizontal="center" vertical="center"/>
    </xf>
    <xf numFmtId="0" fontId="30" fillId="9" borderId="2" xfId="0" applyFont="1" applyFill="1" applyBorder="1" applyAlignment="1">
      <alignment horizontal="center" vertical="center"/>
    </xf>
    <xf numFmtId="0" fontId="30" fillId="0" borderId="2" xfId="0" applyFont="1" applyBorder="1" applyAlignment="1">
      <alignment horizontal="center"/>
    </xf>
    <xf numFmtId="0" fontId="37" fillId="9" borderId="2" xfId="0" applyFont="1" applyFill="1" applyBorder="1" applyAlignment="1">
      <alignment horizontal="center"/>
    </xf>
    <xf numFmtId="17" fontId="0" fillId="0" borderId="0" xfId="0" applyNumberFormat="1"/>
    <xf numFmtId="0" fontId="38" fillId="0" borderId="2" xfId="0" applyFont="1" applyBorder="1" applyAlignment="1">
      <alignment horizontal="center"/>
    </xf>
    <xf numFmtId="0" fontId="39" fillId="0" borderId="2" xfId="0" applyFont="1" applyBorder="1" applyAlignment="1">
      <alignment horizontal="left" vertical="center"/>
    </xf>
    <xf numFmtId="0" fontId="7" fillId="4" borderId="2" xfId="0" applyFont="1" applyFill="1" applyBorder="1" applyAlignment="1">
      <alignment horizontal="center"/>
    </xf>
    <xf numFmtId="0" fontId="14" fillId="9" borderId="2" xfId="0" applyFont="1" applyFill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30" fillId="9" borderId="2" xfId="0" applyFont="1" applyFill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31" fillId="4" borderId="4" xfId="0" applyFont="1" applyFill="1" applyBorder="1" applyAlignment="1">
      <alignment horizontal="center" vertical="center"/>
    </xf>
    <xf numFmtId="0" fontId="40" fillId="4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41" fillId="4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1" fillId="0" borderId="2" xfId="1" applyFont="1" applyFill="1" applyBorder="1" applyAlignment="1">
      <alignment horizontal="center" vertical="center"/>
    </xf>
    <xf numFmtId="49" fontId="14" fillId="2" borderId="2" xfId="0" applyNumberFormat="1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right" vertical="center"/>
    </xf>
    <xf numFmtId="0" fontId="14" fillId="11" borderId="2" xfId="0" applyFont="1" applyFill="1" applyBorder="1" applyAlignment="1">
      <alignment horizontal="center"/>
    </xf>
    <xf numFmtId="0" fontId="22" fillId="0" borderId="2" xfId="0" applyFont="1" applyBorder="1" applyAlignment="1">
      <alignment horizontal="center" vertical="center"/>
    </xf>
    <xf numFmtId="49" fontId="29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9" fillId="0" borderId="2" xfId="0" applyFont="1" applyBorder="1" applyAlignment="1">
      <alignment horizontal="left" vertical="center"/>
    </xf>
    <xf numFmtId="0" fontId="19" fillId="7" borderId="0" xfId="0" applyFont="1" applyFill="1" applyAlignment="1">
      <alignment horizontal="center"/>
    </xf>
    <xf numFmtId="0" fontId="11" fillId="7" borderId="0" xfId="0" applyFont="1" applyFill="1" applyAlignment="1">
      <alignment horizontal="right"/>
    </xf>
    <xf numFmtId="0" fontId="19" fillId="7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/>
    </xf>
    <xf numFmtId="0" fontId="13" fillId="7" borderId="0" xfId="0" applyFont="1" applyFill="1"/>
    <xf numFmtId="0" fontId="19" fillId="7" borderId="0" xfId="0" applyFont="1" applyFill="1"/>
    <xf numFmtId="0" fontId="19" fillId="0" borderId="0" xfId="0" applyFont="1" applyAlignment="1">
      <alignment horizontal="center" vertical="center"/>
    </xf>
    <xf numFmtId="14" fontId="0" fillId="9" borderId="0" xfId="0" applyNumberFormat="1" applyFill="1"/>
    <xf numFmtId="0" fontId="19" fillId="9" borderId="0" xfId="0" applyFont="1" applyFill="1" applyAlignment="1">
      <alignment horizontal="right" vertical="center"/>
    </xf>
    <xf numFmtId="0" fontId="19" fillId="9" borderId="0" xfId="0" applyFont="1" applyFill="1" applyAlignment="1">
      <alignment vertical="center"/>
    </xf>
    <xf numFmtId="0" fontId="19" fillId="4" borderId="2" xfId="1" applyFont="1" applyFill="1" applyBorder="1" applyAlignment="1">
      <alignment horizontal="center" vertical="center"/>
    </xf>
    <xf numFmtId="0" fontId="0" fillId="0" borderId="2" xfId="1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49" fontId="19" fillId="0" borderId="2" xfId="0" applyNumberFormat="1" applyFont="1" applyBorder="1" applyAlignment="1" applyProtection="1">
      <alignment shrinkToFit="1"/>
      <protection locked="0"/>
    </xf>
    <xf numFmtId="0" fontId="19" fillId="0" borderId="2" xfId="0" applyFont="1" applyBorder="1" applyAlignment="1" applyProtection="1">
      <alignment shrinkToFit="1"/>
      <protection locked="0"/>
    </xf>
    <xf numFmtId="0" fontId="19" fillId="0" borderId="2" xfId="0" applyFont="1" applyBorder="1"/>
    <xf numFmtId="49" fontId="19" fillId="0" borderId="2" xfId="0" applyNumberFormat="1" applyFont="1" applyBorder="1"/>
    <xf numFmtId="0" fontId="19" fillId="0" borderId="2" xfId="0" applyFont="1" applyBorder="1" applyAlignment="1">
      <alignment vertical="center"/>
    </xf>
    <xf numFmtId="0" fontId="19" fillId="4" borderId="2" xfId="0" applyFont="1" applyFill="1" applyBorder="1" applyAlignment="1">
      <alignment vertical="center"/>
    </xf>
    <xf numFmtId="0" fontId="7" fillId="11" borderId="2" xfId="0" applyFont="1" applyFill="1" applyBorder="1" applyAlignment="1">
      <alignment horizontal="left"/>
    </xf>
    <xf numFmtId="49" fontId="7" fillId="11" borderId="2" xfId="0" applyNumberFormat="1" applyFont="1" applyFill="1" applyBorder="1" applyAlignment="1">
      <alignment horizontal="center"/>
    </xf>
    <xf numFmtId="0" fontId="7" fillId="11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right" vertical="center"/>
    </xf>
    <xf numFmtId="0" fontId="30" fillId="11" borderId="2" xfId="0" applyFont="1" applyFill="1" applyBorder="1" applyAlignment="1">
      <alignment horizontal="left"/>
    </xf>
    <xf numFmtId="0" fontId="30" fillId="11" borderId="2" xfId="0" applyFont="1" applyFill="1" applyBorder="1" applyAlignment="1">
      <alignment horizontal="center"/>
    </xf>
    <xf numFmtId="0" fontId="30" fillId="11" borderId="2" xfId="0" applyFont="1" applyFill="1" applyBorder="1" applyAlignment="1">
      <alignment horizontal="right"/>
    </xf>
    <xf numFmtId="0" fontId="30" fillId="11" borderId="2" xfId="0" applyFont="1" applyFill="1" applyBorder="1" applyAlignment="1">
      <alignment horizontal="center" vertical="center"/>
    </xf>
    <xf numFmtId="0" fontId="30" fillId="0" borderId="2" xfId="0" applyFont="1" applyBorder="1" applyAlignment="1">
      <alignment horizontal="left"/>
    </xf>
    <xf numFmtId="0" fontId="30" fillId="0" borderId="2" xfId="0" applyFont="1" applyBorder="1" applyAlignment="1">
      <alignment horizontal="right"/>
    </xf>
    <xf numFmtId="0" fontId="7" fillId="12" borderId="2" xfId="0" applyFont="1" applyFill="1" applyBorder="1" applyAlignment="1">
      <alignment horizontal="center"/>
    </xf>
    <xf numFmtId="14" fontId="34" fillId="13" borderId="2" xfId="0" applyNumberFormat="1" applyFont="1" applyFill="1" applyBorder="1" applyAlignment="1">
      <alignment horizontal="left"/>
    </xf>
    <xf numFmtId="49" fontId="34" fillId="13" borderId="2" xfId="0" applyNumberFormat="1" applyFont="1" applyFill="1" applyBorder="1" applyAlignment="1">
      <alignment horizontal="center"/>
    </xf>
    <xf numFmtId="0" fontId="34" fillId="13" borderId="2" xfId="0" applyFont="1" applyFill="1" applyBorder="1" applyAlignment="1">
      <alignment horizontal="center" vertical="center"/>
    </xf>
    <xf numFmtId="0" fontId="34" fillId="13" borderId="2" xfId="0" applyFont="1" applyFill="1" applyBorder="1" applyAlignment="1">
      <alignment horizontal="right" vertical="center"/>
    </xf>
    <xf numFmtId="0" fontId="34" fillId="13" borderId="2" xfId="0" applyFont="1" applyFill="1" applyBorder="1" applyAlignment="1">
      <alignment horizontal="center"/>
    </xf>
    <xf numFmtId="0" fontId="26" fillId="0" borderId="2" xfId="0" applyFont="1" applyBorder="1" applyAlignment="1">
      <alignment horizontal="left"/>
    </xf>
    <xf numFmtId="0" fontId="26" fillId="0" borderId="2" xfId="0" applyFont="1" applyBorder="1" applyAlignment="1">
      <alignment horizontal="right"/>
    </xf>
    <xf numFmtId="0" fontId="26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right" vertical="center"/>
    </xf>
    <xf numFmtId="0" fontId="19" fillId="4" borderId="2" xfId="0" applyFont="1" applyFill="1" applyBorder="1" applyAlignment="1">
      <alignment horizontal="left"/>
    </xf>
    <xf numFmtId="0" fontId="19" fillId="4" borderId="2" xfId="0" applyFont="1" applyFill="1" applyBorder="1" applyAlignment="1">
      <alignment horizontal="right"/>
    </xf>
    <xf numFmtId="0" fontId="30" fillId="4" borderId="2" xfId="0" applyFont="1" applyFill="1" applyBorder="1" applyAlignment="1">
      <alignment horizontal="right"/>
    </xf>
    <xf numFmtId="0" fontId="16" fillId="2" borderId="2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4" borderId="3" xfId="0" applyFont="1" applyFill="1" applyBorder="1" applyAlignment="1">
      <alignment horizontal="center"/>
    </xf>
    <xf numFmtId="0" fontId="0" fillId="14" borderId="2" xfId="0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5" fillId="9" borderId="0" xfId="0" applyFont="1" applyFill="1" applyAlignment="1">
      <alignment horizontal="center"/>
    </xf>
    <xf numFmtId="0" fontId="7" fillId="9" borderId="0" xfId="0" applyFont="1" applyFill="1" applyAlignment="1">
      <alignment horizontal="center" vertical="center"/>
    </xf>
  </cellXfs>
  <cellStyles count="4">
    <cellStyle name="Bad" xfId="1" builtinId="27"/>
    <cellStyle name="Calculation" xfId="3" builtinId="22"/>
    <cellStyle name="Comma" xfId="2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04"/>
  <sheetViews>
    <sheetView topLeftCell="A75" zoomScaleNormal="100" workbookViewId="0">
      <selection activeCell="AE251" sqref="AE251"/>
    </sheetView>
  </sheetViews>
  <sheetFormatPr defaultRowHeight="15" x14ac:dyDescent="0.25"/>
  <cols>
    <col min="1" max="1" width="7.85546875" style="2" customWidth="1"/>
    <col min="2" max="2" width="33.140625" style="8" customWidth="1"/>
    <col min="3" max="3" width="6.28515625" customWidth="1"/>
    <col min="4" max="4" width="12.5703125" style="2" customWidth="1"/>
    <col min="5" max="5" width="12.28515625" bestFit="1" customWidth="1"/>
    <col min="6" max="6" width="14.5703125" style="2" bestFit="1" customWidth="1"/>
    <col min="7" max="7" width="6" customWidth="1"/>
    <col min="8" max="8" width="10.28515625" customWidth="1"/>
    <col min="9" max="9" width="35.5703125" bestFit="1" customWidth="1"/>
    <col min="10" max="10" width="9.28515625" customWidth="1"/>
    <col min="12" max="12" width="10.85546875" bestFit="1" customWidth="1"/>
    <col min="13" max="13" width="14.28515625" style="2" customWidth="1"/>
    <col min="14" max="14" width="5.85546875" customWidth="1"/>
    <col min="15" max="15" width="10.140625" bestFit="1" customWidth="1"/>
    <col min="16" max="16" width="41.42578125" bestFit="1" customWidth="1"/>
    <col min="19" max="19" width="12" customWidth="1"/>
    <col min="20" max="20" width="15.42578125" customWidth="1"/>
    <col min="21" max="21" width="5.7109375" customWidth="1"/>
    <col min="23" max="23" width="33.5703125" bestFit="1" customWidth="1"/>
    <col min="26" max="26" width="10.85546875" bestFit="1" customWidth="1"/>
    <col min="27" max="27" width="14.7109375" customWidth="1"/>
    <col min="31" max="31" width="14.85546875" style="39" customWidth="1"/>
    <col min="32" max="32" width="15.28515625" style="34" customWidth="1"/>
    <col min="33" max="33" width="39.140625" style="2" bestFit="1" customWidth="1"/>
    <col min="34" max="34" width="9.28515625" style="2" customWidth="1"/>
    <col min="35" max="35" width="10.140625" style="2" bestFit="1" customWidth="1"/>
    <col min="36" max="36" width="17" style="2" customWidth="1"/>
    <col min="37" max="37" width="17.5703125" style="209" customWidth="1"/>
    <col min="38" max="38" width="7.42578125" bestFit="1" customWidth="1"/>
    <col min="39" max="39" width="8" bestFit="1" customWidth="1"/>
    <col min="40" max="40" width="10.140625" bestFit="1" customWidth="1"/>
    <col min="41" max="41" width="12.7109375" bestFit="1" customWidth="1"/>
    <col min="42" max="42" width="9.7109375" bestFit="1" customWidth="1"/>
    <col min="43" max="43" width="3.7109375" bestFit="1" customWidth="1"/>
  </cols>
  <sheetData>
    <row r="1" spans="1:40" s="20" customFormat="1" ht="32.25" customHeight="1" x14ac:dyDescent="0.25">
      <c r="A1" s="18"/>
      <c r="B1" s="19"/>
      <c r="D1" s="18"/>
      <c r="F1" s="18"/>
      <c r="H1" s="21" t="s">
        <v>0</v>
      </c>
      <c r="M1" s="18"/>
      <c r="AE1" s="36"/>
      <c r="AF1" s="31"/>
      <c r="AG1" s="18"/>
      <c r="AH1" s="18"/>
      <c r="AI1" s="18"/>
      <c r="AJ1" s="18"/>
      <c r="AK1" s="205"/>
    </row>
    <row r="2" spans="1:40" s="17" customFormat="1" ht="18.75" x14ac:dyDescent="0.3">
      <c r="B2" s="17" t="s">
        <v>12</v>
      </c>
      <c r="G2" s="22"/>
      <c r="I2" s="17" t="s">
        <v>10</v>
      </c>
      <c r="M2" s="15"/>
      <c r="N2" s="22"/>
      <c r="P2" s="17" t="s">
        <v>11</v>
      </c>
      <c r="U2" s="22"/>
      <c r="W2" s="17" t="s">
        <v>12</v>
      </c>
      <c r="AE2" s="37"/>
      <c r="AF2" s="32"/>
      <c r="AG2" s="15"/>
      <c r="AH2" s="15"/>
      <c r="AI2" s="15"/>
      <c r="AJ2" s="15"/>
      <c r="AK2" s="206"/>
    </row>
    <row r="3" spans="1:40" s="1" customFormat="1" ht="6.75" customHeight="1" x14ac:dyDescent="0.25">
      <c r="M3" s="7"/>
      <c r="AE3" s="38"/>
      <c r="AF3" s="33"/>
      <c r="AG3" s="7"/>
      <c r="AH3" s="7"/>
      <c r="AI3" s="7"/>
      <c r="AJ3" s="7"/>
      <c r="AK3" s="207"/>
    </row>
    <row r="4" spans="1:40" s="2" customFormat="1" ht="28.5" x14ac:dyDescent="0.25">
      <c r="A4" s="4" t="s">
        <v>2</v>
      </c>
      <c r="B4" s="4" t="s">
        <v>4</v>
      </c>
      <c r="C4" s="4" t="s">
        <v>3</v>
      </c>
      <c r="D4" s="4" t="s">
        <v>5</v>
      </c>
      <c r="E4" s="5" t="s">
        <v>6</v>
      </c>
      <c r="F4" s="4" t="s">
        <v>7</v>
      </c>
      <c r="G4" s="11"/>
      <c r="H4" s="4" t="s">
        <v>2</v>
      </c>
      <c r="I4" s="4" t="s">
        <v>4</v>
      </c>
      <c r="J4" s="4" t="s">
        <v>3</v>
      </c>
      <c r="K4" s="4" t="s">
        <v>5</v>
      </c>
      <c r="L4" s="5" t="s">
        <v>6</v>
      </c>
      <c r="M4" s="4" t="s">
        <v>7</v>
      </c>
      <c r="N4" s="11"/>
      <c r="O4" s="4" t="s">
        <v>2</v>
      </c>
      <c r="P4" s="4" t="s">
        <v>4</v>
      </c>
      <c r="Q4" s="4" t="s">
        <v>3</v>
      </c>
      <c r="R4" s="4" t="s">
        <v>5</v>
      </c>
      <c r="S4" s="5" t="s">
        <v>6</v>
      </c>
      <c r="T4" s="4" t="s">
        <v>7</v>
      </c>
      <c r="U4" s="11"/>
      <c r="V4" s="4" t="s">
        <v>2</v>
      </c>
      <c r="W4" s="4" t="s">
        <v>4</v>
      </c>
      <c r="X4" s="4" t="s">
        <v>3</v>
      </c>
      <c r="Y4" s="4" t="s">
        <v>5</v>
      </c>
      <c r="Z4" s="5" t="s">
        <v>6</v>
      </c>
      <c r="AA4" s="4" t="s">
        <v>7</v>
      </c>
      <c r="AE4" s="25"/>
      <c r="AF4" s="29"/>
      <c r="AG4" s="27" t="s">
        <v>13</v>
      </c>
      <c r="AJ4" s="25"/>
      <c r="AK4" s="208"/>
      <c r="AL4" s="25"/>
      <c r="AM4" s="25"/>
      <c r="AN4" s="25"/>
    </row>
    <row r="5" spans="1:40" x14ac:dyDescent="0.25">
      <c r="A5" s="4">
        <v>1</v>
      </c>
      <c r="B5" s="10" t="s">
        <v>8</v>
      </c>
      <c r="C5" s="3" t="s">
        <v>34</v>
      </c>
      <c r="D5" s="4">
        <v>24993.700000000012</v>
      </c>
      <c r="E5" s="4">
        <v>4</v>
      </c>
      <c r="F5" s="4">
        <f>D5*E5</f>
        <v>99974.800000000047</v>
      </c>
      <c r="G5" s="12"/>
      <c r="H5" s="4">
        <v>1</v>
      </c>
      <c r="I5" s="10" t="s">
        <v>8</v>
      </c>
      <c r="J5" s="3" t="s">
        <v>34</v>
      </c>
      <c r="K5" s="3">
        <f>J109</f>
        <v>33868.1</v>
      </c>
      <c r="L5" s="3"/>
      <c r="M5" s="4">
        <f>K5*L5</f>
        <v>0</v>
      </c>
      <c r="N5" s="12"/>
      <c r="O5" s="4">
        <v>1</v>
      </c>
      <c r="P5" s="10" t="s">
        <v>8</v>
      </c>
      <c r="Q5" s="3" t="s">
        <v>34</v>
      </c>
      <c r="R5" s="4">
        <f>AH31+AH79+AH110+AH141+AH172+AH203+AH238+AH269+AH300+AH331+AH362+AH394</f>
        <v>35816.14</v>
      </c>
      <c r="S5" s="4">
        <v>4</v>
      </c>
      <c r="T5" s="4">
        <f>R5*S5</f>
        <v>143264.56</v>
      </c>
      <c r="U5" s="12"/>
      <c r="V5" s="4">
        <v>1</v>
      </c>
      <c r="W5" s="10" t="s">
        <v>8</v>
      </c>
      <c r="X5" s="3" t="s">
        <v>34</v>
      </c>
      <c r="Y5" s="4">
        <f>D5+K5-R5</f>
        <v>23045.660000000011</v>
      </c>
      <c r="Z5" s="4">
        <v>4</v>
      </c>
      <c r="AA5" s="4">
        <f>Y5*Z5</f>
        <v>92182.640000000043</v>
      </c>
    </row>
    <row r="6" spans="1:40" x14ac:dyDescent="0.25">
      <c r="A6" s="4">
        <v>2</v>
      </c>
      <c r="B6" s="10" t="s">
        <v>32</v>
      </c>
      <c r="C6" s="3" t="s">
        <v>57</v>
      </c>
      <c r="D6" s="4">
        <v>109</v>
      </c>
      <c r="E6" s="4">
        <v>3.5</v>
      </c>
      <c r="F6" s="4">
        <f t="shared" ref="F6:F66" si="0">D6*E6</f>
        <v>381.5</v>
      </c>
      <c r="G6" s="12"/>
      <c r="H6" s="4">
        <v>2</v>
      </c>
      <c r="I6" s="10" t="s">
        <v>32</v>
      </c>
      <c r="J6" s="3" t="s">
        <v>57</v>
      </c>
      <c r="K6" s="3">
        <v>120</v>
      </c>
      <c r="L6" s="3">
        <v>14.83</v>
      </c>
      <c r="M6" s="4">
        <f>K6*L6</f>
        <v>1779.6</v>
      </c>
      <c r="N6" s="12"/>
      <c r="O6" s="4">
        <v>2</v>
      </c>
      <c r="P6" s="10" t="s">
        <v>32</v>
      </c>
      <c r="Q6" s="3" t="s">
        <v>57</v>
      </c>
      <c r="R6" s="4"/>
      <c r="S6" s="4"/>
      <c r="T6" s="4">
        <f t="shared" ref="T6:T66" si="1">R6*S6</f>
        <v>0</v>
      </c>
      <c r="U6" s="12"/>
      <c r="V6" s="4">
        <v>2</v>
      </c>
      <c r="W6" s="10" t="s">
        <v>32</v>
      </c>
      <c r="X6" s="3" t="s">
        <v>57</v>
      </c>
      <c r="Y6" s="4">
        <f t="shared" ref="Y6:Y63" si="2">D6+K6-R6</f>
        <v>229</v>
      </c>
      <c r="Z6" s="4">
        <v>16</v>
      </c>
      <c r="AA6" s="4">
        <f t="shared" ref="AA6:AA66" si="3">Y6*Z6</f>
        <v>3664</v>
      </c>
      <c r="AE6" s="4" t="s">
        <v>14</v>
      </c>
      <c r="AF6" s="30" t="s">
        <v>15</v>
      </c>
      <c r="AG6" s="4" t="s">
        <v>16</v>
      </c>
      <c r="AH6" s="4" t="s">
        <v>96</v>
      </c>
      <c r="AI6" s="4" t="s">
        <v>79</v>
      </c>
      <c r="AJ6" s="4" t="s">
        <v>18</v>
      </c>
      <c r="AK6" s="210" t="s">
        <v>19</v>
      </c>
    </row>
    <row r="7" spans="1:40" x14ac:dyDescent="0.25">
      <c r="A7" s="4">
        <v>3</v>
      </c>
      <c r="B7" s="10" t="s">
        <v>33</v>
      </c>
      <c r="C7" s="3" t="s">
        <v>35</v>
      </c>
      <c r="D7" s="4">
        <v>15</v>
      </c>
      <c r="E7" s="4">
        <v>5.5</v>
      </c>
      <c r="F7" s="4">
        <f t="shared" si="0"/>
        <v>82.5</v>
      </c>
      <c r="G7" s="12"/>
      <c r="H7" s="4">
        <v>3</v>
      </c>
      <c r="I7" s="10" t="s">
        <v>33</v>
      </c>
      <c r="J7" s="3" t="s">
        <v>35</v>
      </c>
      <c r="K7" s="3"/>
      <c r="L7" s="3"/>
      <c r="M7" s="4">
        <f t="shared" ref="M7:M66" si="4">K7*L7</f>
        <v>0</v>
      </c>
      <c r="N7" s="12"/>
      <c r="O7" s="4">
        <v>3</v>
      </c>
      <c r="P7" s="10" t="s">
        <v>33</v>
      </c>
      <c r="Q7" s="3" t="s">
        <v>35</v>
      </c>
      <c r="R7" s="4"/>
      <c r="S7" s="4"/>
      <c r="T7" s="4">
        <f t="shared" si="1"/>
        <v>0</v>
      </c>
      <c r="U7" s="12"/>
      <c r="V7" s="4">
        <v>3</v>
      </c>
      <c r="W7" s="10" t="s">
        <v>33</v>
      </c>
      <c r="X7" s="3" t="s">
        <v>35</v>
      </c>
      <c r="Y7" s="4">
        <f t="shared" si="2"/>
        <v>15</v>
      </c>
      <c r="Z7" s="4">
        <v>5.5</v>
      </c>
      <c r="AA7" s="4">
        <f t="shared" si="3"/>
        <v>82.5</v>
      </c>
      <c r="AE7" s="70" t="s">
        <v>173</v>
      </c>
      <c r="AF7" s="28" t="s">
        <v>174</v>
      </c>
      <c r="AG7" s="218" t="s">
        <v>175</v>
      </c>
      <c r="AH7" s="26">
        <v>75.12</v>
      </c>
      <c r="AI7" s="145"/>
      <c r="AJ7" s="145">
        <f>((AH7*4)+(AI7*2.8))*1.18</f>
        <v>354.56639999999999</v>
      </c>
      <c r="AK7" s="232" t="s">
        <v>204</v>
      </c>
    </row>
    <row r="8" spans="1:40" x14ac:dyDescent="0.25">
      <c r="A8" s="4">
        <v>4</v>
      </c>
      <c r="B8" s="10" t="s">
        <v>36</v>
      </c>
      <c r="C8" s="3" t="s">
        <v>37</v>
      </c>
      <c r="D8" s="4">
        <v>77</v>
      </c>
      <c r="E8" s="4">
        <v>1.71</v>
      </c>
      <c r="F8" s="4">
        <f t="shared" si="0"/>
        <v>131.66999999999999</v>
      </c>
      <c r="G8" s="12"/>
      <c r="H8" s="4">
        <v>4</v>
      </c>
      <c r="I8" s="10" t="s">
        <v>36</v>
      </c>
      <c r="J8" s="3" t="s">
        <v>37</v>
      </c>
      <c r="K8" s="3"/>
      <c r="L8" s="3"/>
      <c r="M8" s="4">
        <f t="shared" si="4"/>
        <v>0</v>
      </c>
      <c r="N8" s="12"/>
      <c r="O8" s="4">
        <v>4</v>
      </c>
      <c r="P8" s="10" t="s">
        <v>36</v>
      </c>
      <c r="Q8" s="3" t="s">
        <v>37</v>
      </c>
      <c r="R8" s="3"/>
      <c r="S8" s="3"/>
      <c r="T8" s="4">
        <f t="shared" si="1"/>
        <v>0</v>
      </c>
      <c r="U8" s="12"/>
      <c r="V8" s="4">
        <v>4</v>
      </c>
      <c r="W8" s="10" t="s">
        <v>36</v>
      </c>
      <c r="X8" s="3" t="s">
        <v>37</v>
      </c>
      <c r="Y8" s="4">
        <f t="shared" si="2"/>
        <v>77</v>
      </c>
      <c r="Z8" s="4">
        <v>1.71</v>
      </c>
      <c r="AA8" s="4">
        <f t="shared" si="3"/>
        <v>131.66999999999999</v>
      </c>
      <c r="AE8" s="70" t="s">
        <v>176</v>
      </c>
      <c r="AF8" s="28" t="s">
        <v>177</v>
      </c>
      <c r="AG8" s="219" t="s">
        <v>178</v>
      </c>
      <c r="AH8" s="26">
        <v>150</v>
      </c>
      <c r="AI8" s="145"/>
      <c r="AJ8" s="145">
        <f t="shared" ref="AJ8:AJ14" si="5">((AH8*4)+(AI8*2.8))*1.18</f>
        <v>708</v>
      </c>
      <c r="AK8" s="210"/>
    </row>
    <row r="9" spans="1:40" x14ac:dyDescent="0.25">
      <c r="A9" s="4">
        <v>5</v>
      </c>
      <c r="B9" s="10" t="s">
        <v>38</v>
      </c>
      <c r="C9" s="3" t="s">
        <v>37</v>
      </c>
      <c r="D9" s="4">
        <v>20</v>
      </c>
      <c r="E9" s="4">
        <v>1.72</v>
      </c>
      <c r="F9" s="4">
        <f t="shared" si="0"/>
        <v>34.4</v>
      </c>
      <c r="G9" s="12"/>
      <c r="H9" s="4">
        <v>5</v>
      </c>
      <c r="I9" s="10" t="s">
        <v>38</v>
      </c>
      <c r="J9" s="3" t="s">
        <v>37</v>
      </c>
      <c r="K9" s="3"/>
      <c r="L9" s="3"/>
      <c r="M9" s="4">
        <f t="shared" si="4"/>
        <v>0</v>
      </c>
      <c r="N9" s="12"/>
      <c r="O9" s="4">
        <v>5</v>
      </c>
      <c r="P9" s="10" t="s">
        <v>38</v>
      </c>
      <c r="Q9" s="3" t="s">
        <v>37</v>
      </c>
      <c r="R9" s="3"/>
      <c r="S9" s="3"/>
      <c r="T9" s="4">
        <f t="shared" si="1"/>
        <v>0</v>
      </c>
      <c r="U9" s="12"/>
      <c r="V9" s="4">
        <v>5</v>
      </c>
      <c r="W9" s="10" t="s">
        <v>38</v>
      </c>
      <c r="X9" s="3" t="s">
        <v>37</v>
      </c>
      <c r="Y9" s="4">
        <f t="shared" si="2"/>
        <v>20</v>
      </c>
      <c r="Z9" s="4">
        <v>1.72</v>
      </c>
      <c r="AA9" s="4">
        <f t="shared" si="3"/>
        <v>34.4</v>
      </c>
      <c r="AE9" s="72" t="s">
        <v>179</v>
      </c>
      <c r="AF9" s="28" t="s">
        <v>180</v>
      </c>
      <c r="AG9" s="218" t="s">
        <v>181</v>
      </c>
      <c r="AH9" s="26">
        <v>750</v>
      </c>
      <c r="AI9" s="145">
        <v>442</v>
      </c>
      <c r="AJ9" s="145">
        <f t="shared" si="5"/>
        <v>5000.3680000000004</v>
      </c>
      <c r="AK9" s="4" t="s">
        <v>204</v>
      </c>
    </row>
    <row r="10" spans="1:40" x14ac:dyDescent="0.25">
      <c r="A10" s="4">
        <v>6</v>
      </c>
      <c r="B10" s="10" t="s">
        <v>39</v>
      </c>
      <c r="C10" s="3" t="s">
        <v>37</v>
      </c>
      <c r="D10" s="4">
        <v>25</v>
      </c>
      <c r="E10" s="4">
        <v>1.71</v>
      </c>
      <c r="F10" s="4">
        <f t="shared" si="0"/>
        <v>42.75</v>
      </c>
      <c r="G10" s="12"/>
      <c r="H10" s="4">
        <v>6</v>
      </c>
      <c r="I10" s="10" t="s">
        <v>39</v>
      </c>
      <c r="J10" s="3" t="s">
        <v>37</v>
      </c>
      <c r="K10" s="3"/>
      <c r="L10" s="3"/>
      <c r="M10" s="4">
        <f t="shared" si="4"/>
        <v>0</v>
      </c>
      <c r="N10" s="12"/>
      <c r="O10" s="4">
        <v>6</v>
      </c>
      <c r="P10" s="10" t="s">
        <v>39</v>
      </c>
      <c r="Q10" s="3" t="s">
        <v>37</v>
      </c>
      <c r="R10" s="3"/>
      <c r="S10" s="3"/>
      <c r="T10" s="4">
        <f t="shared" si="1"/>
        <v>0</v>
      </c>
      <c r="U10" s="12"/>
      <c r="V10" s="4">
        <v>6</v>
      </c>
      <c r="W10" s="10" t="s">
        <v>39</v>
      </c>
      <c r="X10" s="3" t="s">
        <v>37</v>
      </c>
      <c r="Y10" s="4">
        <f t="shared" si="2"/>
        <v>25</v>
      </c>
      <c r="Z10" s="4">
        <v>1.71</v>
      </c>
      <c r="AA10" s="4">
        <f t="shared" si="3"/>
        <v>42.75</v>
      </c>
      <c r="AE10" s="72" t="s">
        <v>182</v>
      </c>
      <c r="AF10" s="28" t="s">
        <v>183</v>
      </c>
      <c r="AG10" s="218" t="s">
        <v>184</v>
      </c>
      <c r="AH10" s="26">
        <v>356</v>
      </c>
      <c r="AI10" s="147"/>
      <c r="AJ10" s="145">
        <f t="shared" si="5"/>
        <v>1680.32</v>
      </c>
      <c r="AK10" s="4"/>
    </row>
    <row r="11" spans="1:40" x14ac:dyDescent="0.25">
      <c r="A11" s="4">
        <v>7</v>
      </c>
      <c r="B11" s="10" t="s">
        <v>40</v>
      </c>
      <c r="C11" s="3" t="s">
        <v>37</v>
      </c>
      <c r="D11" s="4">
        <v>283</v>
      </c>
      <c r="E11" s="4">
        <v>0.3</v>
      </c>
      <c r="F11" s="4">
        <f t="shared" si="0"/>
        <v>84.899999999999991</v>
      </c>
      <c r="G11" s="12"/>
      <c r="H11" s="4">
        <v>7</v>
      </c>
      <c r="I11" s="10" t="s">
        <v>40</v>
      </c>
      <c r="J11" s="3" t="s">
        <v>37</v>
      </c>
      <c r="K11" s="3"/>
      <c r="L11" s="3"/>
      <c r="M11" s="4">
        <f t="shared" si="4"/>
        <v>0</v>
      </c>
      <c r="N11" s="12"/>
      <c r="O11" s="4">
        <v>7</v>
      </c>
      <c r="P11" s="10" t="s">
        <v>40</v>
      </c>
      <c r="Q11" s="3" t="s">
        <v>37</v>
      </c>
      <c r="R11" s="3"/>
      <c r="S11" s="3"/>
      <c r="T11" s="4">
        <f t="shared" si="1"/>
        <v>0</v>
      </c>
      <c r="U11" s="12"/>
      <c r="V11" s="4">
        <v>7</v>
      </c>
      <c r="W11" s="10" t="s">
        <v>40</v>
      </c>
      <c r="X11" s="3" t="s">
        <v>37</v>
      </c>
      <c r="Y11" s="4">
        <f t="shared" si="2"/>
        <v>283</v>
      </c>
      <c r="Z11" s="4">
        <v>0.3</v>
      </c>
      <c r="AA11" s="4">
        <f t="shared" si="3"/>
        <v>84.899999999999991</v>
      </c>
      <c r="AE11" s="72" t="s">
        <v>182</v>
      </c>
      <c r="AF11" s="28" t="s">
        <v>185</v>
      </c>
      <c r="AG11" s="218" t="s">
        <v>186</v>
      </c>
      <c r="AH11" s="26">
        <v>32</v>
      </c>
      <c r="AI11" s="147"/>
      <c r="AJ11" s="145">
        <f t="shared" si="5"/>
        <v>151.04</v>
      </c>
      <c r="AK11" s="4" t="s">
        <v>204</v>
      </c>
    </row>
    <row r="12" spans="1:40" x14ac:dyDescent="0.25">
      <c r="A12" s="4">
        <v>8</v>
      </c>
      <c r="B12" s="10" t="s">
        <v>41</v>
      </c>
      <c r="C12" s="3" t="s">
        <v>34</v>
      </c>
      <c r="D12" s="4">
        <v>30</v>
      </c>
      <c r="E12" s="4">
        <v>1.2</v>
      </c>
      <c r="F12" s="4">
        <f t="shared" si="0"/>
        <v>36</v>
      </c>
      <c r="G12" s="12"/>
      <c r="H12" s="4">
        <v>8</v>
      </c>
      <c r="I12" s="10" t="s">
        <v>41</v>
      </c>
      <c r="J12" s="3" t="s">
        <v>34</v>
      </c>
      <c r="K12" s="3"/>
      <c r="L12" s="3"/>
      <c r="M12" s="4">
        <f t="shared" si="4"/>
        <v>0</v>
      </c>
      <c r="N12" s="12"/>
      <c r="O12" s="4">
        <v>8</v>
      </c>
      <c r="P12" s="10" t="s">
        <v>41</v>
      </c>
      <c r="Q12" s="3" t="s">
        <v>34</v>
      </c>
      <c r="R12" s="3"/>
      <c r="S12" s="3"/>
      <c r="T12" s="4">
        <f t="shared" si="1"/>
        <v>0</v>
      </c>
      <c r="U12" s="12"/>
      <c r="V12" s="4">
        <v>8</v>
      </c>
      <c r="W12" s="10" t="s">
        <v>41</v>
      </c>
      <c r="X12" s="3" t="s">
        <v>34</v>
      </c>
      <c r="Y12" s="4">
        <f t="shared" si="2"/>
        <v>30</v>
      </c>
      <c r="Z12" s="4">
        <v>1.2</v>
      </c>
      <c r="AA12" s="4">
        <f t="shared" si="3"/>
        <v>36</v>
      </c>
      <c r="AE12" s="72" t="s">
        <v>187</v>
      </c>
      <c r="AF12" s="28" t="s">
        <v>188</v>
      </c>
      <c r="AG12" s="218" t="s">
        <v>186</v>
      </c>
      <c r="AH12" s="26">
        <v>42.6</v>
      </c>
      <c r="AI12" s="147"/>
      <c r="AJ12" s="145">
        <f t="shared" si="5"/>
        <v>201.072</v>
      </c>
      <c r="AK12" s="4" t="s">
        <v>204</v>
      </c>
    </row>
    <row r="13" spans="1:40" x14ac:dyDescent="0.25">
      <c r="A13" s="4">
        <v>9</v>
      </c>
      <c r="B13" s="10" t="s">
        <v>38</v>
      </c>
      <c r="C13" s="3" t="s">
        <v>37</v>
      </c>
      <c r="D13" s="4">
        <v>17</v>
      </c>
      <c r="E13" s="4">
        <v>1.2</v>
      </c>
      <c r="F13" s="4">
        <f t="shared" si="0"/>
        <v>20.399999999999999</v>
      </c>
      <c r="G13" s="12"/>
      <c r="H13" s="4">
        <v>9</v>
      </c>
      <c r="I13" s="10" t="s">
        <v>38</v>
      </c>
      <c r="J13" s="3" t="s">
        <v>37</v>
      </c>
      <c r="K13" s="3"/>
      <c r="L13" s="3"/>
      <c r="M13" s="4">
        <f t="shared" si="4"/>
        <v>0</v>
      </c>
      <c r="N13" s="12"/>
      <c r="O13" s="4">
        <v>9</v>
      </c>
      <c r="P13" s="10" t="s">
        <v>38</v>
      </c>
      <c r="Q13" s="3" t="s">
        <v>37</v>
      </c>
      <c r="R13" s="3"/>
      <c r="S13" s="3"/>
      <c r="T13" s="4">
        <f t="shared" si="1"/>
        <v>0</v>
      </c>
      <c r="U13" s="12"/>
      <c r="V13" s="4">
        <v>9</v>
      </c>
      <c r="W13" s="10" t="s">
        <v>38</v>
      </c>
      <c r="X13" s="3" t="s">
        <v>37</v>
      </c>
      <c r="Y13" s="4">
        <f t="shared" si="2"/>
        <v>17</v>
      </c>
      <c r="Z13" s="4">
        <v>1.2</v>
      </c>
      <c r="AA13" s="4">
        <f t="shared" si="3"/>
        <v>20.399999999999999</v>
      </c>
      <c r="AE13" s="72" t="s">
        <v>187</v>
      </c>
      <c r="AF13" s="217" t="s">
        <v>189</v>
      </c>
      <c r="AG13" s="220" t="s">
        <v>190</v>
      </c>
      <c r="AH13" s="134">
        <v>597.5</v>
      </c>
      <c r="AI13" s="148"/>
      <c r="AJ13" s="145">
        <f t="shared" si="5"/>
        <v>2820.2</v>
      </c>
      <c r="AK13" s="4">
        <v>900</v>
      </c>
    </row>
    <row r="14" spans="1:40" x14ac:dyDescent="0.25">
      <c r="A14" s="4">
        <v>10</v>
      </c>
      <c r="B14" s="10" t="s">
        <v>42</v>
      </c>
      <c r="C14" s="3" t="s">
        <v>37</v>
      </c>
      <c r="D14" s="4">
        <v>33</v>
      </c>
      <c r="E14" s="4">
        <v>1.2</v>
      </c>
      <c r="F14" s="4">
        <f t="shared" si="0"/>
        <v>39.6</v>
      </c>
      <c r="G14" s="12"/>
      <c r="H14" s="4">
        <v>10</v>
      </c>
      <c r="I14" s="10" t="s">
        <v>42</v>
      </c>
      <c r="J14" s="3" t="s">
        <v>37</v>
      </c>
      <c r="K14" s="3"/>
      <c r="L14" s="3"/>
      <c r="M14" s="4">
        <f t="shared" si="4"/>
        <v>0</v>
      </c>
      <c r="N14" s="12"/>
      <c r="O14" s="4">
        <v>10</v>
      </c>
      <c r="P14" s="10" t="s">
        <v>42</v>
      </c>
      <c r="Q14" s="3" t="s">
        <v>37</v>
      </c>
      <c r="R14" s="3"/>
      <c r="S14" s="3"/>
      <c r="T14" s="4">
        <f t="shared" si="1"/>
        <v>0</v>
      </c>
      <c r="U14" s="12"/>
      <c r="V14" s="4">
        <v>10</v>
      </c>
      <c r="W14" s="10" t="s">
        <v>42</v>
      </c>
      <c r="X14" s="3" t="s">
        <v>37</v>
      </c>
      <c r="Y14" s="4">
        <f t="shared" si="2"/>
        <v>33</v>
      </c>
      <c r="Z14" s="4">
        <v>1.2</v>
      </c>
      <c r="AA14" s="4">
        <f t="shared" si="3"/>
        <v>39.6</v>
      </c>
      <c r="AE14" s="116" t="s">
        <v>191</v>
      </c>
      <c r="AF14" s="76" t="s">
        <v>192</v>
      </c>
      <c r="AG14" s="219" t="s">
        <v>193</v>
      </c>
      <c r="AH14" s="117">
        <v>128.4</v>
      </c>
      <c r="AI14" s="148"/>
      <c r="AJ14" s="145">
        <f t="shared" si="5"/>
        <v>606.048</v>
      </c>
      <c r="AK14" s="4" t="s">
        <v>204</v>
      </c>
    </row>
    <row r="15" spans="1:40" x14ac:dyDescent="0.25">
      <c r="A15" s="4">
        <v>11</v>
      </c>
      <c r="B15" s="10" t="s">
        <v>43</v>
      </c>
      <c r="C15" s="3" t="s">
        <v>37</v>
      </c>
      <c r="D15" s="4">
        <v>63</v>
      </c>
      <c r="E15" s="4">
        <v>1.75</v>
      </c>
      <c r="F15" s="4">
        <f t="shared" si="0"/>
        <v>110.25</v>
      </c>
      <c r="G15" s="12"/>
      <c r="H15" s="4">
        <v>11</v>
      </c>
      <c r="I15" s="10" t="s">
        <v>43</v>
      </c>
      <c r="J15" s="3" t="s">
        <v>37</v>
      </c>
      <c r="K15" s="3"/>
      <c r="L15" s="3"/>
      <c r="M15" s="4">
        <f t="shared" si="4"/>
        <v>0</v>
      </c>
      <c r="N15" s="12"/>
      <c r="O15" s="4">
        <v>11</v>
      </c>
      <c r="P15" s="10" t="s">
        <v>43</v>
      </c>
      <c r="Q15" s="3" t="s">
        <v>37</v>
      </c>
      <c r="R15" s="3"/>
      <c r="S15" s="3"/>
      <c r="T15" s="4">
        <f t="shared" si="1"/>
        <v>0</v>
      </c>
      <c r="U15" s="12"/>
      <c r="V15" s="4">
        <v>11</v>
      </c>
      <c r="W15" s="10" t="s">
        <v>43</v>
      </c>
      <c r="X15" s="3" t="s">
        <v>37</v>
      </c>
      <c r="Y15" s="4">
        <f t="shared" si="2"/>
        <v>63</v>
      </c>
      <c r="Z15" s="4">
        <v>1.75</v>
      </c>
      <c r="AA15" s="4">
        <f t="shared" si="3"/>
        <v>110.25</v>
      </c>
      <c r="AE15" s="166"/>
      <c r="AF15" s="168"/>
      <c r="AG15" s="172"/>
      <c r="AH15" s="160"/>
      <c r="AI15" s="147"/>
      <c r="AJ15" s="145">
        <f t="shared" ref="AJ15:AJ30" si="6">((AH15*4)+(AI15*2.8))*1.18</f>
        <v>0</v>
      </c>
      <c r="AK15" s="4"/>
    </row>
    <row r="16" spans="1:40" x14ac:dyDescent="0.25">
      <c r="A16" s="4">
        <v>12</v>
      </c>
      <c r="B16" s="10" t="s">
        <v>44</v>
      </c>
      <c r="C16" s="3" t="s">
        <v>37</v>
      </c>
      <c r="D16" s="4">
        <v>26</v>
      </c>
      <c r="E16" s="4">
        <v>1</v>
      </c>
      <c r="F16" s="4">
        <f t="shared" si="0"/>
        <v>26</v>
      </c>
      <c r="G16" s="12"/>
      <c r="H16" s="4">
        <v>12</v>
      </c>
      <c r="I16" s="10" t="s">
        <v>44</v>
      </c>
      <c r="J16" s="3" t="s">
        <v>37</v>
      </c>
      <c r="K16" s="3"/>
      <c r="L16" s="3"/>
      <c r="M16" s="4">
        <f t="shared" si="4"/>
        <v>0</v>
      </c>
      <c r="N16" s="12"/>
      <c r="O16" s="4">
        <v>12</v>
      </c>
      <c r="P16" s="10" t="s">
        <v>44</v>
      </c>
      <c r="Q16" s="3" t="s">
        <v>37</v>
      </c>
      <c r="R16" s="3"/>
      <c r="S16" s="3"/>
      <c r="T16" s="4">
        <f t="shared" si="1"/>
        <v>0</v>
      </c>
      <c r="U16" s="12"/>
      <c r="V16" s="4">
        <v>12</v>
      </c>
      <c r="W16" s="10" t="s">
        <v>44</v>
      </c>
      <c r="X16" s="3" t="s">
        <v>37</v>
      </c>
      <c r="Y16" s="4">
        <f t="shared" si="2"/>
        <v>26</v>
      </c>
      <c r="Z16" s="4">
        <v>1</v>
      </c>
      <c r="AA16" s="4">
        <f t="shared" si="3"/>
        <v>26</v>
      </c>
      <c r="AE16" s="166"/>
      <c r="AF16" s="168"/>
      <c r="AG16" s="172"/>
      <c r="AH16" s="160"/>
      <c r="AI16" s="147"/>
      <c r="AJ16" s="145">
        <f t="shared" si="6"/>
        <v>0</v>
      </c>
      <c r="AK16" s="210"/>
    </row>
    <row r="17" spans="1:37" x14ac:dyDescent="0.25">
      <c r="A17" s="4">
        <v>13</v>
      </c>
      <c r="B17" s="10" t="s">
        <v>45</v>
      </c>
      <c r="C17" s="3" t="s">
        <v>37</v>
      </c>
      <c r="D17" s="4">
        <v>58</v>
      </c>
      <c r="E17" s="4">
        <v>1.25</v>
      </c>
      <c r="F17" s="4">
        <f t="shared" si="0"/>
        <v>72.5</v>
      </c>
      <c r="G17" s="12"/>
      <c r="H17" s="4">
        <v>13</v>
      </c>
      <c r="I17" s="10" t="s">
        <v>45</v>
      </c>
      <c r="J17" s="3" t="s">
        <v>37</v>
      </c>
      <c r="K17" s="3"/>
      <c r="L17" s="3"/>
      <c r="M17" s="4">
        <f t="shared" si="4"/>
        <v>0</v>
      </c>
      <c r="N17" s="12"/>
      <c r="O17" s="4">
        <v>13</v>
      </c>
      <c r="P17" s="10" t="s">
        <v>45</v>
      </c>
      <c r="Q17" s="3" t="s">
        <v>37</v>
      </c>
      <c r="R17" s="3"/>
      <c r="S17" s="3"/>
      <c r="T17" s="4">
        <f t="shared" si="1"/>
        <v>0</v>
      </c>
      <c r="U17" s="12"/>
      <c r="V17" s="4">
        <v>13</v>
      </c>
      <c r="W17" s="10" t="s">
        <v>45</v>
      </c>
      <c r="X17" s="3" t="s">
        <v>37</v>
      </c>
      <c r="Y17" s="4">
        <f t="shared" si="2"/>
        <v>58</v>
      </c>
      <c r="Z17" s="4">
        <v>1.25</v>
      </c>
      <c r="AA17" s="4">
        <f t="shared" si="3"/>
        <v>72.5</v>
      </c>
      <c r="AE17" s="166"/>
      <c r="AF17" s="168"/>
      <c r="AG17" s="167"/>
      <c r="AH17" s="160"/>
      <c r="AI17" s="147"/>
      <c r="AJ17" s="145">
        <f t="shared" si="6"/>
        <v>0</v>
      </c>
      <c r="AK17" s="210"/>
    </row>
    <row r="18" spans="1:37" x14ac:dyDescent="0.25">
      <c r="A18" s="4">
        <v>14</v>
      </c>
      <c r="B18" s="10" t="s">
        <v>46</v>
      </c>
      <c r="C18" s="3" t="s">
        <v>37</v>
      </c>
      <c r="D18" s="4">
        <v>67</v>
      </c>
      <c r="E18" s="4">
        <v>1.55</v>
      </c>
      <c r="F18" s="4">
        <f t="shared" si="0"/>
        <v>103.85000000000001</v>
      </c>
      <c r="G18" s="12"/>
      <c r="H18" s="4">
        <v>14</v>
      </c>
      <c r="I18" s="10" t="s">
        <v>46</v>
      </c>
      <c r="J18" s="3" t="s">
        <v>37</v>
      </c>
      <c r="K18" s="3"/>
      <c r="L18" s="3"/>
      <c r="M18" s="4">
        <f t="shared" si="4"/>
        <v>0</v>
      </c>
      <c r="N18" s="12"/>
      <c r="O18" s="4">
        <v>14</v>
      </c>
      <c r="P18" s="10" t="s">
        <v>46</v>
      </c>
      <c r="Q18" s="3" t="s">
        <v>37</v>
      </c>
      <c r="R18" s="3"/>
      <c r="S18" s="3"/>
      <c r="T18" s="4">
        <f t="shared" si="1"/>
        <v>0</v>
      </c>
      <c r="U18" s="12"/>
      <c r="V18" s="4">
        <v>14</v>
      </c>
      <c r="W18" s="10" t="s">
        <v>46</v>
      </c>
      <c r="X18" s="3" t="s">
        <v>37</v>
      </c>
      <c r="Y18" s="4">
        <f t="shared" si="2"/>
        <v>67</v>
      </c>
      <c r="Z18" s="4">
        <v>1.55</v>
      </c>
      <c r="AA18" s="4">
        <f t="shared" si="3"/>
        <v>103.85000000000001</v>
      </c>
      <c r="AE18" s="166"/>
      <c r="AF18" s="168"/>
      <c r="AG18" s="167"/>
      <c r="AH18" s="160"/>
      <c r="AI18" s="145"/>
      <c r="AJ18" s="145">
        <f t="shared" si="6"/>
        <v>0</v>
      </c>
      <c r="AK18" s="210"/>
    </row>
    <row r="19" spans="1:37" x14ac:dyDescent="0.25">
      <c r="A19" s="4">
        <v>15</v>
      </c>
      <c r="B19" s="10" t="s">
        <v>47</v>
      </c>
      <c r="C19" s="3" t="s">
        <v>35</v>
      </c>
      <c r="D19" s="4">
        <v>513</v>
      </c>
      <c r="E19" s="4">
        <v>0.3</v>
      </c>
      <c r="F19" s="4">
        <f t="shared" si="0"/>
        <v>153.9</v>
      </c>
      <c r="G19" s="12"/>
      <c r="H19" s="4">
        <v>15</v>
      </c>
      <c r="I19" s="10" t="s">
        <v>47</v>
      </c>
      <c r="J19" s="3" t="s">
        <v>35</v>
      </c>
      <c r="K19" s="3">
        <v>500</v>
      </c>
      <c r="L19" s="3">
        <v>0.23</v>
      </c>
      <c r="M19" s="4">
        <f t="shared" si="4"/>
        <v>115</v>
      </c>
      <c r="N19" s="12"/>
      <c r="O19" s="4">
        <v>15</v>
      </c>
      <c r="P19" s="10" t="s">
        <v>47</v>
      </c>
      <c r="Q19" s="3" t="s">
        <v>35</v>
      </c>
      <c r="R19" s="3"/>
      <c r="S19" s="3">
        <v>0.35</v>
      </c>
      <c r="T19" s="4">
        <f t="shared" si="1"/>
        <v>0</v>
      </c>
      <c r="U19" s="12"/>
      <c r="V19" s="4">
        <v>15</v>
      </c>
      <c r="W19" s="10" t="s">
        <v>47</v>
      </c>
      <c r="X19" s="3" t="s">
        <v>35</v>
      </c>
      <c r="Y19" s="4">
        <f t="shared" si="2"/>
        <v>1013</v>
      </c>
      <c r="Z19" s="4">
        <v>0.3</v>
      </c>
      <c r="AA19" s="4">
        <f t="shared" si="3"/>
        <v>303.89999999999998</v>
      </c>
      <c r="AE19" s="166"/>
      <c r="AF19" s="166"/>
      <c r="AG19" s="167"/>
      <c r="AH19" s="160"/>
      <c r="AI19" s="145"/>
      <c r="AJ19" s="145">
        <f t="shared" si="6"/>
        <v>0</v>
      </c>
      <c r="AK19" s="210"/>
    </row>
    <row r="20" spans="1:37" x14ac:dyDescent="0.25">
      <c r="A20" s="4">
        <v>16</v>
      </c>
      <c r="B20" s="10" t="s">
        <v>48</v>
      </c>
      <c r="C20" s="3" t="s">
        <v>35</v>
      </c>
      <c r="D20" s="4">
        <v>300</v>
      </c>
      <c r="E20" s="4">
        <v>0.25</v>
      </c>
      <c r="F20" s="4">
        <f t="shared" si="0"/>
        <v>75</v>
      </c>
      <c r="G20" s="12"/>
      <c r="H20" s="4">
        <v>16</v>
      </c>
      <c r="I20" s="10" t="s">
        <v>48</v>
      </c>
      <c r="J20" s="3" t="s">
        <v>35</v>
      </c>
      <c r="K20" s="3">
        <v>400</v>
      </c>
      <c r="L20" s="3">
        <v>0.34</v>
      </c>
      <c r="M20" s="4">
        <f t="shared" si="4"/>
        <v>136</v>
      </c>
      <c r="N20" s="12"/>
      <c r="O20" s="4">
        <v>16</v>
      </c>
      <c r="P20" s="10" t="s">
        <v>48</v>
      </c>
      <c r="Q20" s="3" t="s">
        <v>35</v>
      </c>
      <c r="R20" s="3"/>
      <c r="S20" s="3">
        <v>0.45</v>
      </c>
      <c r="T20" s="4">
        <f t="shared" si="1"/>
        <v>0</v>
      </c>
      <c r="U20" s="12"/>
      <c r="V20" s="4">
        <v>16</v>
      </c>
      <c r="W20" s="10" t="s">
        <v>48</v>
      </c>
      <c r="X20" s="3" t="s">
        <v>35</v>
      </c>
      <c r="Y20" s="4">
        <f t="shared" si="2"/>
        <v>700</v>
      </c>
      <c r="Z20" s="4">
        <v>0.25</v>
      </c>
      <c r="AA20" s="4">
        <f t="shared" si="3"/>
        <v>175</v>
      </c>
      <c r="AE20" s="166"/>
      <c r="AF20" s="168"/>
      <c r="AG20" s="172"/>
      <c r="AH20" s="160"/>
      <c r="AI20" s="145"/>
      <c r="AJ20" s="145">
        <f t="shared" si="6"/>
        <v>0</v>
      </c>
      <c r="AK20" s="210"/>
    </row>
    <row r="21" spans="1:37" x14ac:dyDescent="0.25">
      <c r="A21" s="4">
        <v>17</v>
      </c>
      <c r="B21" s="10" t="s">
        <v>49</v>
      </c>
      <c r="C21" s="3" t="s">
        <v>35</v>
      </c>
      <c r="D21" s="4">
        <v>500</v>
      </c>
      <c r="E21" s="4">
        <v>0.08</v>
      </c>
      <c r="F21" s="4">
        <f t="shared" si="0"/>
        <v>40</v>
      </c>
      <c r="G21" s="12"/>
      <c r="H21" s="4">
        <v>17</v>
      </c>
      <c r="I21" s="10" t="s">
        <v>49</v>
      </c>
      <c r="J21" s="3" t="s">
        <v>35</v>
      </c>
      <c r="K21" s="3"/>
      <c r="L21" s="3"/>
      <c r="M21" s="4">
        <f t="shared" si="4"/>
        <v>0</v>
      </c>
      <c r="N21" s="12"/>
      <c r="O21" s="4">
        <v>17</v>
      </c>
      <c r="P21" s="10" t="s">
        <v>49</v>
      </c>
      <c r="Q21" s="3" t="s">
        <v>35</v>
      </c>
      <c r="R21" s="3"/>
      <c r="S21" s="3"/>
      <c r="T21" s="4">
        <f t="shared" si="1"/>
        <v>0</v>
      </c>
      <c r="U21" s="12"/>
      <c r="V21" s="4">
        <v>17</v>
      </c>
      <c r="W21" s="10" t="s">
        <v>49</v>
      </c>
      <c r="X21" s="3" t="s">
        <v>35</v>
      </c>
      <c r="Y21" s="4">
        <f t="shared" si="2"/>
        <v>500</v>
      </c>
      <c r="Z21" s="4">
        <v>0.08</v>
      </c>
      <c r="AA21" s="4">
        <f t="shared" si="3"/>
        <v>40</v>
      </c>
      <c r="AE21" s="169"/>
      <c r="AF21" s="168"/>
      <c r="AG21" s="171"/>
      <c r="AH21" s="160"/>
      <c r="AI21" s="145"/>
      <c r="AJ21" s="145">
        <f t="shared" si="6"/>
        <v>0</v>
      </c>
      <c r="AK21" s="210"/>
    </row>
    <row r="22" spans="1:37" x14ac:dyDescent="0.25">
      <c r="A22" s="4">
        <v>18</v>
      </c>
      <c r="B22" s="10" t="s">
        <v>50</v>
      </c>
      <c r="C22" s="3" t="s">
        <v>37</v>
      </c>
      <c r="D22" s="4">
        <v>20</v>
      </c>
      <c r="E22" s="4">
        <v>1.25</v>
      </c>
      <c r="F22" s="4">
        <f t="shared" si="0"/>
        <v>25</v>
      </c>
      <c r="G22" s="12"/>
      <c r="H22" s="4">
        <v>18</v>
      </c>
      <c r="I22" s="10" t="s">
        <v>50</v>
      </c>
      <c r="J22" s="3" t="s">
        <v>37</v>
      </c>
      <c r="K22" s="3"/>
      <c r="L22" s="3"/>
      <c r="M22" s="4">
        <f t="shared" si="4"/>
        <v>0</v>
      </c>
      <c r="N22" s="12"/>
      <c r="O22" s="4">
        <v>18</v>
      </c>
      <c r="P22" s="10" t="s">
        <v>50</v>
      </c>
      <c r="Q22" s="3" t="s">
        <v>37</v>
      </c>
      <c r="R22" s="3"/>
      <c r="S22" s="3"/>
      <c r="T22" s="4">
        <f t="shared" si="1"/>
        <v>0</v>
      </c>
      <c r="U22" s="12"/>
      <c r="V22" s="4">
        <v>18</v>
      </c>
      <c r="W22" s="10" t="s">
        <v>50</v>
      </c>
      <c r="X22" s="3" t="s">
        <v>37</v>
      </c>
      <c r="Y22" s="4">
        <f t="shared" si="2"/>
        <v>20</v>
      </c>
      <c r="Z22" s="4">
        <v>1.25</v>
      </c>
      <c r="AA22" s="4">
        <f t="shared" si="3"/>
        <v>25</v>
      </c>
      <c r="AE22" s="166"/>
      <c r="AF22" s="170"/>
      <c r="AG22" s="167"/>
      <c r="AH22" s="160"/>
      <c r="AI22" s="145"/>
      <c r="AJ22" s="145">
        <f t="shared" si="6"/>
        <v>0</v>
      </c>
      <c r="AK22" s="210"/>
    </row>
    <row r="23" spans="1:37" x14ac:dyDescent="0.25">
      <c r="A23" s="4">
        <v>19</v>
      </c>
      <c r="B23" s="10" t="s">
        <v>51</v>
      </c>
      <c r="C23" s="3" t="s">
        <v>37</v>
      </c>
      <c r="D23" s="4">
        <v>150</v>
      </c>
      <c r="E23" s="4">
        <v>0.5</v>
      </c>
      <c r="F23" s="4">
        <f t="shared" si="0"/>
        <v>75</v>
      </c>
      <c r="G23" s="12"/>
      <c r="H23" s="4">
        <v>19</v>
      </c>
      <c r="I23" s="10" t="s">
        <v>51</v>
      </c>
      <c r="J23" s="3" t="s">
        <v>37</v>
      </c>
      <c r="K23" s="3">
        <v>150</v>
      </c>
      <c r="L23" s="3">
        <v>0.45</v>
      </c>
      <c r="M23" s="4">
        <f t="shared" si="4"/>
        <v>67.5</v>
      </c>
      <c r="N23" s="12"/>
      <c r="O23" s="4">
        <v>19</v>
      </c>
      <c r="P23" s="10" t="s">
        <v>51</v>
      </c>
      <c r="Q23" s="3" t="s">
        <v>37</v>
      </c>
      <c r="R23" s="3"/>
      <c r="S23" s="3"/>
      <c r="T23" s="4">
        <f t="shared" si="1"/>
        <v>0</v>
      </c>
      <c r="U23" s="12"/>
      <c r="V23" s="4">
        <v>19</v>
      </c>
      <c r="W23" s="10" t="s">
        <v>51</v>
      </c>
      <c r="X23" s="3" t="s">
        <v>37</v>
      </c>
      <c r="Y23" s="4">
        <f t="shared" si="2"/>
        <v>300</v>
      </c>
      <c r="Z23" s="4">
        <v>0.5</v>
      </c>
      <c r="AA23" s="4">
        <f t="shared" si="3"/>
        <v>150</v>
      </c>
      <c r="AE23" s="142"/>
      <c r="AF23" s="146"/>
      <c r="AG23" s="145"/>
      <c r="AH23" s="158"/>
      <c r="AI23" s="145"/>
      <c r="AJ23" s="145">
        <f t="shared" si="6"/>
        <v>0</v>
      </c>
      <c r="AK23" s="210"/>
    </row>
    <row r="24" spans="1:37" x14ac:dyDescent="0.25">
      <c r="A24" s="4">
        <v>20</v>
      </c>
      <c r="B24" s="10" t="s">
        <v>52</v>
      </c>
      <c r="C24" s="3" t="s">
        <v>56</v>
      </c>
      <c r="D24" s="4">
        <v>650</v>
      </c>
      <c r="E24" s="4">
        <v>0.31</v>
      </c>
      <c r="F24" s="4">
        <f t="shared" si="0"/>
        <v>201.5</v>
      </c>
      <c r="G24" s="12"/>
      <c r="H24" s="4">
        <v>20</v>
      </c>
      <c r="I24" s="10" t="s">
        <v>52</v>
      </c>
      <c r="J24" s="3" t="s">
        <v>56</v>
      </c>
      <c r="K24" s="3"/>
      <c r="L24" s="3">
        <v>0.31</v>
      </c>
      <c r="M24" s="4">
        <f t="shared" si="4"/>
        <v>0</v>
      </c>
      <c r="N24" s="12"/>
      <c r="O24" s="4">
        <v>20</v>
      </c>
      <c r="P24" s="10" t="s">
        <v>52</v>
      </c>
      <c r="Q24" s="3" t="s">
        <v>56</v>
      </c>
      <c r="R24" s="3"/>
      <c r="S24" s="3"/>
      <c r="T24" s="4">
        <f t="shared" si="1"/>
        <v>0</v>
      </c>
      <c r="U24" s="12"/>
      <c r="V24" s="4">
        <v>20</v>
      </c>
      <c r="W24" s="10" t="s">
        <v>52</v>
      </c>
      <c r="X24" s="3" t="s">
        <v>56</v>
      </c>
      <c r="Y24" s="4">
        <f t="shared" si="2"/>
        <v>650</v>
      </c>
      <c r="Z24" s="4">
        <v>0.31</v>
      </c>
      <c r="AA24" s="4">
        <f t="shared" si="3"/>
        <v>201.5</v>
      </c>
      <c r="AE24" s="142"/>
      <c r="AF24" s="146"/>
      <c r="AG24" s="145"/>
      <c r="AH24" s="158"/>
      <c r="AI24" s="145"/>
      <c r="AJ24" s="145">
        <f t="shared" si="6"/>
        <v>0</v>
      </c>
      <c r="AK24" s="210"/>
    </row>
    <row r="25" spans="1:37" x14ac:dyDescent="0.25">
      <c r="A25" s="4">
        <v>21</v>
      </c>
      <c r="B25" s="10" t="s">
        <v>53</v>
      </c>
      <c r="C25" s="3" t="s">
        <v>56</v>
      </c>
      <c r="D25" s="4">
        <v>300</v>
      </c>
      <c r="E25" s="4">
        <v>0.22</v>
      </c>
      <c r="F25" s="4">
        <f t="shared" si="0"/>
        <v>66</v>
      </c>
      <c r="G25" s="12"/>
      <c r="H25" s="4">
        <v>21</v>
      </c>
      <c r="I25" s="10" t="s">
        <v>53</v>
      </c>
      <c r="J25" s="3" t="s">
        <v>56</v>
      </c>
      <c r="K25" s="3"/>
      <c r="L25" s="3"/>
      <c r="M25" s="4">
        <f t="shared" si="4"/>
        <v>0</v>
      </c>
      <c r="N25" s="12"/>
      <c r="O25" s="4">
        <v>21</v>
      </c>
      <c r="P25" s="10" t="s">
        <v>53</v>
      </c>
      <c r="Q25" s="3" t="s">
        <v>56</v>
      </c>
      <c r="R25" s="3"/>
      <c r="S25" s="3"/>
      <c r="T25" s="4">
        <f t="shared" si="1"/>
        <v>0</v>
      </c>
      <c r="U25" s="12"/>
      <c r="V25" s="4">
        <v>21</v>
      </c>
      <c r="W25" s="10" t="s">
        <v>53</v>
      </c>
      <c r="X25" s="3" t="s">
        <v>56</v>
      </c>
      <c r="Y25" s="4">
        <f t="shared" si="2"/>
        <v>300</v>
      </c>
      <c r="Z25" s="4">
        <v>0.22</v>
      </c>
      <c r="AA25" s="4">
        <f t="shared" si="3"/>
        <v>66</v>
      </c>
      <c r="AE25" s="142"/>
      <c r="AF25" s="146"/>
      <c r="AG25" s="145"/>
      <c r="AH25" s="158"/>
      <c r="AI25" s="145"/>
      <c r="AJ25" s="145">
        <f t="shared" si="6"/>
        <v>0</v>
      </c>
      <c r="AK25" s="210"/>
    </row>
    <row r="26" spans="1:37" x14ac:dyDescent="0.25">
      <c r="A26" s="4">
        <v>22</v>
      </c>
      <c r="B26" s="10" t="s">
        <v>54</v>
      </c>
      <c r="C26" s="3" t="s">
        <v>37</v>
      </c>
      <c r="D26" s="4">
        <v>11</v>
      </c>
      <c r="E26" s="4">
        <v>1.5</v>
      </c>
      <c r="F26" s="4">
        <f t="shared" si="0"/>
        <v>16.5</v>
      </c>
      <c r="G26" s="12"/>
      <c r="H26" s="4">
        <v>22</v>
      </c>
      <c r="I26" s="10" t="s">
        <v>54</v>
      </c>
      <c r="J26" s="3" t="s">
        <v>37</v>
      </c>
      <c r="K26" s="3"/>
      <c r="L26" s="3"/>
      <c r="M26" s="4">
        <f t="shared" si="4"/>
        <v>0</v>
      </c>
      <c r="N26" s="12"/>
      <c r="O26" s="4">
        <v>22</v>
      </c>
      <c r="P26" s="10" t="s">
        <v>54</v>
      </c>
      <c r="Q26" s="3" t="s">
        <v>37</v>
      </c>
      <c r="R26" s="3"/>
      <c r="S26" s="3"/>
      <c r="T26" s="4">
        <f t="shared" si="1"/>
        <v>0</v>
      </c>
      <c r="U26" s="12"/>
      <c r="V26" s="4">
        <v>22</v>
      </c>
      <c r="W26" s="10" t="s">
        <v>54</v>
      </c>
      <c r="X26" s="3" t="s">
        <v>37</v>
      </c>
      <c r="Y26" s="4">
        <f t="shared" si="2"/>
        <v>11</v>
      </c>
      <c r="Z26" s="4">
        <v>1.5</v>
      </c>
      <c r="AA26" s="4">
        <f t="shared" si="3"/>
        <v>16.5</v>
      </c>
      <c r="AE26" s="40"/>
      <c r="AF26" s="35"/>
      <c r="AG26" s="4"/>
      <c r="AH26" s="164"/>
      <c r="AI26" s="4"/>
      <c r="AJ26" s="145">
        <f t="shared" si="6"/>
        <v>0</v>
      </c>
      <c r="AK26" s="210"/>
    </row>
    <row r="27" spans="1:37" x14ac:dyDescent="0.25">
      <c r="A27" s="4">
        <v>23</v>
      </c>
      <c r="B27" s="10" t="s">
        <v>55</v>
      </c>
      <c r="C27" s="3" t="s">
        <v>56</v>
      </c>
      <c r="D27" s="4">
        <v>200</v>
      </c>
      <c r="E27" s="4">
        <v>0.2</v>
      </c>
      <c r="F27" s="4">
        <f t="shared" si="0"/>
        <v>40</v>
      </c>
      <c r="G27" s="12"/>
      <c r="H27" s="4">
        <v>23</v>
      </c>
      <c r="I27" s="10" t="s">
        <v>55</v>
      </c>
      <c r="J27" s="3" t="s">
        <v>56</v>
      </c>
      <c r="K27" s="3">
        <v>400</v>
      </c>
      <c r="L27" s="3">
        <v>0.16</v>
      </c>
      <c r="M27" s="4">
        <f t="shared" si="4"/>
        <v>64</v>
      </c>
      <c r="N27" s="12"/>
      <c r="O27" s="4">
        <v>23</v>
      </c>
      <c r="P27" s="10" t="s">
        <v>55</v>
      </c>
      <c r="Q27" s="3" t="s">
        <v>56</v>
      </c>
      <c r="R27" s="3"/>
      <c r="S27" s="3">
        <v>0.3</v>
      </c>
      <c r="T27" s="4">
        <f t="shared" si="1"/>
        <v>0</v>
      </c>
      <c r="U27" s="12"/>
      <c r="V27" s="4">
        <v>23</v>
      </c>
      <c r="W27" s="10" t="s">
        <v>55</v>
      </c>
      <c r="X27" s="3" t="s">
        <v>56</v>
      </c>
      <c r="Y27" s="4">
        <f t="shared" si="2"/>
        <v>600</v>
      </c>
      <c r="Z27" s="4">
        <v>0.2</v>
      </c>
      <c r="AA27" s="4">
        <f t="shared" si="3"/>
        <v>120</v>
      </c>
      <c r="AE27" s="40"/>
      <c r="AF27" s="35"/>
      <c r="AG27" s="4"/>
      <c r="AH27" s="164"/>
      <c r="AI27" s="4"/>
      <c r="AJ27" s="145">
        <f t="shared" si="6"/>
        <v>0</v>
      </c>
      <c r="AK27" s="210"/>
    </row>
    <row r="28" spans="1:37" x14ac:dyDescent="0.25">
      <c r="A28" s="4">
        <v>24</v>
      </c>
      <c r="B28" s="3" t="s">
        <v>77</v>
      </c>
      <c r="C28" s="3" t="s">
        <v>34</v>
      </c>
      <c r="D28" s="4">
        <v>1339.9499999999971</v>
      </c>
      <c r="E28" s="4">
        <v>2.6</v>
      </c>
      <c r="F28" s="4">
        <f t="shared" si="0"/>
        <v>3483.8699999999926</v>
      </c>
      <c r="G28" s="12"/>
      <c r="H28" s="4">
        <v>24</v>
      </c>
      <c r="I28" s="3" t="s">
        <v>77</v>
      </c>
      <c r="J28" s="3" t="s">
        <v>34</v>
      </c>
      <c r="K28" s="3">
        <f>Q109</f>
        <v>1420</v>
      </c>
      <c r="L28" s="3"/>
      <c r="M28" s="4">
        <f t="shared" si="4"/>
        <v>0</v>
      </c>
      <c r="N28" s="12"/>
      <c r="O28" s="4">
        <v>24</v>
      </c>
      <c r="P28" s="3" t="s">
        <v>77</v>
      </c>
      <c r="Q28" s="3" t="s">
        <v>34</v>
      </c>
      <c r="R28" s="3">
        <f>AI31</f>
        <v>442</v>
      </c>
      <c r="S28" s="3"/>
      <c r="T28" s="4">
        <f t="shared" si="1"/>
        <v>0</v>
      </c>
      <c r="U28" s="12"/>
      <c r="V28" s="4">
        <v>24</v>
      </c>
      <c r="W28" s="3" t="s">
        <v>77</v>
      </c>
      <c r="X28" s="3" t="s">
        <v>34</v>
      </c>
      <c r="Y28" s="4">
        <f t="shared" si="2"/>
        <v>2317.9499999999971</v>
      </c>
      <c r="Z28" s="4">
        <v>2.6</v>
      </c>
      <c r="AA28" s="4">
        <f t="shared" si="3"/>
        <v>6026.6699999999928</v>
      </c>
      <c r="AE28" s="40"/>
      <c r="AF28" s="35"/>
      <c r="AG28" s="4"/>
      <c r="AH28" s="164"/>
      <c r="AI28" s="4"/>
      <c r="AJ28" s="145">
        <f t="shared" si="6"/>
        <v>0</v>
      </c>
      <c r="AK28" s="210"/>
    </row>
    <row r="29" spans="1:37" x14ac:dyDescent="0.25">
      <c r="A29" s="4">
        <v>25</v>
      </c>
      <c r="B29" s="10" t="s">
        <v>87</v>
      </c>
      <c r="C29" s="3" t="s">
        <v>88</v>
      </c>
      <c r="D29" s="4">
        <v>14</v>
      </c>
      <c r="E29" s="4">
        <v>23</v>
      </c>
      <c r="F29" s="4">
        <f t="shared" si="0"/>
        <v>322</v>
      </c>
      <c r="G29" s="12"/>
      <c r="H29" s="4">
        <v>25</v>
      </c>
      <c r="I29" s="10" t="s">
        <v>87</v>
      </c>
      <c r="J29" s="3" t="s">
        <v>88</v>
      </c>
      <c r="K29" s="3"/>
      <c r="L29" s="3"/>
      <c r="M29" s="4">
        <f t="shared" si="4"/>
        <v>0</v>
      </c>
      <c r="N29" s="12"/>
      <c r="O29" s="4">
        <v>25</v>
      </c>
      <c r="P29" s="10" t="s">
        <v>87</v>
      </c>
      <c r="Q29" s="3" t="s">
        <v>88</v>
      </c>
      <c r="R29" s="3"/>
      <c r="S29" s="3"/>
      <c r="T29" s="4">
        <f t="shared" si="1"/>
        <v>0</v>
      </c>
      <c r="U29" s="12"/>
      <c r="V29" s="4">
        <v>25</v>
      </c>
      <c r="W29" s="10" t="s">
        <v>87</v>
      </c>
      <c r="X29" s="3" t="s">
        <v>88</v>
      </c>
      <c r="Y29" s="4">
        <f>D29+K29-R29</f>
        <v>14</v>
      </c>
      <c r="Z29" s="4">
        <v>23</v>
      </c>
      <c r="AA29" s="4">
        <f t="shared" si="3"/>
        <v>322</v>
      </c>
      <c r="AE29" s="40"/>
      <c r="AF29" s="35"/>
      <c r="AG29" s="4"/>
      <c r="AH29" s="164"/>
      <c r="AI29" s="4"/>
      <c r="AJ29" s="145">
        <f t="shared" si="6"/>
        <v>0</v>
      </c>
      <c r="AK29" s="210"/>
    </row>
    <row r="30" spans="1:37" x14ac:dyDescent="0.25">
      <c r="A30" s="4">
        <v>26</v>
      </c>
      <c r="B30" s="10" t="s">
        <v>89</v>
      </c>
      <c r="C30" s="3" t="s">
        <v>37</v>
      </c>
      <c r="D30" s="4">
        <v>70</v>
      </c>
      <c r="E30" s="4">
        <v>4</v>
      </c>
      <c r="F30" s="4">
        <f t="shared" si="0"/>
        <v>280</v>
      </c>
      <c r="G30" s="12"/>
      <c r="H30" s="4">
        <v>26</v>
      </c>
      <c r="I30" s="10" t="s">
        <v>89</v>
      </c>
      <c r="J30" s="3" t="s">
        <v>37</v>
      </c>
      <c r="K30" s="3"/>
      <c r="L30" s="3"/>
      <c r="M30" s="4">
        <f t="shared" si="4"/>
        <v>0</v>
      </c>
      <c r="N30" s="12"/>
      <c r="O30" s="4">
        <v>26</v>
      </c>
      <c r="P30" s="10" t="s">
        <v>89</v>
      </c>
      <c r="Q30" s="3" t="s">
        <v>37</v>
      </c>
      <c r="R30" s="3"/>
      <c r="S30" s="3"/>
      <c r="T30" s="4">
        <f t="shared" si="1"/>
        <v>0</v>
      </c>
      <c r="U30" s="12"/>
      <c r="V30" s="4">
        <v>26</v>
      </c>
      <c r="W30" s="10" t="s">
        <v>89</v>
      </c>
      <c r="X30" s="3" t="s">
        <v>37</v>
      </c>
      <c r="Y30" s="4">
        <f t="shared" si="2"/>
        <v>70</v>
      </c>
      <c r="Z30" s="4">
        <v>4</v>
      </c>
      <c r="AA30" s="4">
        <f t="shared" si="3"/>
        <v>280</v>
      </c>
      <c r="AE30" s="40"/>
      <c r="AF30" s="35"/>
      <c r="AG30" s="4"/>
      <c r="AH30" s="164"/>
      <c r="AI30" s="4"/>
      <c r="AJ30" s="145">
        <f t="shared" si="6"/>
        <v>0</v>
      </c>
      <c r="AK30" s="210"/>
    </row>
    <row r="31" spans="1:37" x14ac:dyDescent="0.25">
      <c r="A31" s="4">
        <v>27</v>
      </c>
      <c r="B31" s="10" t="s">
        <v>90</v>
      </c>
      <c r="C31" s="3" t="s">
        <v>88</v>
      </c>
      <c r="D31" s="4">
        <v>20</v>
      </c>
      <c r="E31" s="4">
        <v>7.12</v>
      </c>
      <c r="F31" s="4">
        <f t="shared" si="0"/>
        <v>142.4</v>
      </c>
      <c r="G31" s="12"/>
      <c r="H31" s="4">
        <v>27</v>
      </c>
      <c r="I31" s="10" t="s">
        <v>90</v>
      </c>
      <c r="J31" s="3" t="s">
        <v>88</v>
      </c>
      <c r="K31" s="3">
        <v>5</v>
      </c>
      <c r="L31" s="3">
        <v>4.75</v>
      </c>
      <c r="M31" s="4">
        <f t="shared" si="4"/>
        <v>23.75</v>
      </c>
      <c r="N31" s="12"/>
      <c r="O31" s="4">
        <v>27</v>
      </c>
      <c r="P31" s="10" t="s">
        <v>90</v>
      </c>
      <c r="Q31" s="3" t="s">
        <v>88</v>
      </c>
      <c r="R31" s="3"/>
      <c r="S31" s="3"/>
      <c r="T31" s="4">
        <f t="shared" si="1"/>
        <v>0</v>
      </c>
      <c r="U31" s="12"/>
      <c r="V31" s="4">
        <v>27</v>
      </c>
      <c r="W31" s="10" t="s">
        <v>90</v>
      </c>
      <c r="X31" s="3" t="s">
        <v>88</v>
      </c>
      <c r="Y31" s="4">
        <f t="shared" si="2"/>
        <v>25</v>
      </c>
      <c r="Z31" s="4">
        <v>7.12</v>
      </c>
      <c r="AA31" s="4">
        <f t="shared" si="3"/>
        <v>178</v>
      </c>
      <c r="AG31" s="2" t="s">
        <v>20</v>
      </c>
      <c r="AH31" s="173">
        <f>SUM(AH7:AH30)</f>
        <v>2131.62</v>
      </c>
      <c r="AI31" s="2">
        <f>SUM(AI7:AI30)</f>
        <v>442</v>
      </c>
    </row>
    <row r="32" spans="1:37" x14ac:dyDescent="0.25">
      <c r="A32" s="4">
        <v>28</v>
      </c>
      <c r="B32" s="10" t="s">
        <v>91</v>
      </c>
      <c r="C32" s="3" t="s">
        <v>37</v>
      </c>
      <c r="D32" s="4">
        <v>6</v>
      </c>
      <c r="E32" s="4">
        <v>5.7</v>
      </c>
      <c r="F32" s="4">
        <f t="shared" si="0"/>
        <v>34.200000000000003</v>
      </c>
      <c r="G32" s="12"/>
      <c r="H32" s="4">
        <v>28</v>
      </c>
      <c r="I32" s="10" t="s">
        <v>91</v>
      </c>
      <c r="J32" s="3" t="s">
        <v>37</v>
      </c>
      <c r="K32" s="3">
        <v>8</v>
      </c>
      <c r="L32" s="3"/>
      <c r="M32" s="4">
        <f t="shared" si="4"/>
        <v>0</v>
      </c>
      <c r="N32" s="12"/>
      <c r="O32" s="4">
        <v>28</v>
      </c>
      <c r="P32" s="10" t="s">
        <v>91</v>
      </c>
      <c r="Q32" s="3" t="s">
        <v>37</v>
      </c>
      <c r="R32" s="3"/>
      <c r="S32" s="3"/>
      <c r="T32" s="4">
        <f t="shared" si="1"/>
        <v>0</v>
      </c>
      <c r="U32" s="12"/>
      <c r="V32" s="4">
        <v>28</v>
      </c>
      <c r="W32" s="10" t="s">
        <v>91</v>
      </c>
      <c r="X32" s="3" t="s">
        <v>37</v>
      </c>
      <c r="Y32" s="4">
        <f t="shared" si="2"/>
        <v>14</v>
      </c>
      <c r="Z32" s="4">
        <v>5.7</v>
      </c>
      <c r="AA32" s="4">
        <f t="shared" si="3"/>
        <v>79.8</v>
      </c>
      <c r="AH32" s="173"/>
    </row>
    <row r="33" spans="1:46" x14ac:dyDescent="0.25">
      <c r="A33" s="4">
        <v>29</v>
      </c>
      <c r="B33" s="10" t="s">
        <v>121</v>
      </c>
      <c r="C33" s="3" t="s">
        <v>37</v>
      </c>
      <c r="D33" s="4">
        <v>-100</v>
      </c>
      <c r="E33" s="4">
        <v>1.5</v>
      </c>
      <c r="F33" s="4">
        <f t="shared" si="0"/>
        <v>-150</v>
      </c>
      <c r="G33" s="12"/>
      <c r="H33" s="4">
        <v>29</v>
      </c>
      <c r="I33" s="10" t="s">
        <v>121</v>
      </c>
      <c r="J33" s="3" t="s">
        <v>37</v>
      </c>
      <c r="K33" s="3"/>
      <c r="L33" s="3"/>
      <c r="M33" s="4">
        <f t="shared" si="4"/>
        <v>0</v>
      </c>
      <c r="N33" s="12"/>
      <c r="O33" s="4">
        <v>29</v>
      </c>
      <c r="P33" s="10" t="s">
        <v>121</v>
      </c>
      <c r="Q33" s="3" t="s">
        <v>37</v>
      </c>
      <c r="R33" s="3"/>
      <c r="S33" s="3"/>
      <c r="T33" s="4">
        <f t="shared" si="1"/>
        <v>0</v>
      </c>
      <c r="U33" s="12"/>
      <c r="V33" s="4">
        <v>29</v>
      </c>
      <c r="W33" s="10" t="s">
        <v>121</v>
      </c>
      <c r="X33" s="3" t="s">
        <v>37</v>
      </c>
      <c r="Y33" s="4">
        <f t="shared" si="2"/>
        <v>-100</v>
      </c>
      <c r="Z33" s="4">
        <v>1.5</v>
      </c>
      <c r="AA33" s="4">
        <f t="shared" si="3"/>
        <v>-150</v>
      </c>
      <c r="AH33" s="173"/>
    </row>
    <row r="34" spans="1:46" x14ac:dyDescent="0.25">
      <c r="A34" s="4">
        <v>30</v>
      </c>
      <c r="B34" s="10" t="s">
        <v>101</v>
      </c>
      <c r="C34" s="3" t="s">
        <v>35</v>
      </c>
      <c r="D34" s="4">
        <v>202</v>
      </c>
      <c r="E34" s="4">
        <v>0.72</v>
      </c>
      <c r="F34" s="4">
        <f t="shared" si="0"/>
        <v>145.44</v>
      </c>
      <c r="G34" s="12"/>
      <c r="H34" s="4">
        <v>30</v>
      </c>
      <c r="I34" s="10" t="s">
        <v>101</v>
      </c>
      <c r="J34" s="3" t="s">
        <v>35</v>
      </c>
      <c r="K34" s="3"/>
      <c r="L34" s="3">
        <v>1.0169999999999999</v>
      </c>
      <c r="M34" s="4">
        <f t="shared" si="4"/>
        <v>0</v>
      </c>
      <c r="N34" s="12"/>
      <c r="O34" s="4">
        <v>30</v>
      </c>
      <c r="P34" s="162" t="s">
        <v>101</v>
      </c>
      <c r="Q34" s="3" t="s">
        <v>35</v>
      </c>
      <c r="R34" s="163"/>
      <c r="S34" s="163"/>
      <c r="T34" s="4">
        <f t="shared" si="1"/>
        <v>0</v>
      </c>
      <c r="U34" s="12"/>
      <c r="V34" s="4">
        <v>30</v>
      </c>
      <c r="W34" s="10" t="s">
        <v>101</v>
      </c>
      <c r="X34" s="3" t="s">
        <v>35</v>
      </c>
      <c r="Y34" s="4">
        <f t="shared" si="2"/>
        <v>202</v>
      </c>
      <c r="Z34" s="4">
        <v>0.72</v>
      </c>
      <c r="AA34" s="4">
        <f t="shared" si="3"/>
        <v>145.44</v>
      </c>
      <c r="AH34" s="173"/>
    </row>
    <row r="35" spans="1:46" x14ac:dyDescent="0.25">
      <c r="A35" s="4">
        <v>31</v>
      </c>
      <c r="B35" s="10" t="s">
        <v>120</v>
      </c>
      <c r="C35" s="3" t="s">
        <v>34</v>
      </c>
      <c r="D35" s="4">
        <v>711.8</v>
      </c>
      <c r="E35" s="164">
        <v>1.06</v>
      </c>
      <c r="F35" s="4">
        <f t="shared" si="0"/>
        <v>754.50800000000004</v>
      </c>
      <c r="G35" s="12"/>
      <c r="H35" s="4">
        <v>31</v>
      </c>
      <c r="I35" s="10" t="s">
        <v>120</v>
      </c>
      <c r="J35" s="3" t="str">
        <f>C35</f>
        <v>kg</v>
      </c>
      <c r="K35" s="3"/>
      <c r="L35" s="3"/>
      <c r="M35" s="4">
        <f t="shared" si="4"/>
        <v>0</v>
      </c>
      <c r="N35" s="12"/>
      <c r="O35" s="4">
        <v>31</v>
      </c>
      <c r="P35" s="162" t="s">
        <v>120</v>
      </c>
      <c r="Q35" s="3" t="str">
        <f>J35</f>
        <v>kg</v>
      </c>
      <c r="R35" s="163"/>
      <c r="S35" s="163"/>
      <c r="T35" s="4">
        <f t="shared" si="1"/>
        <v>0</v>
      </c>
      <c r="U35" s="12"/>
      <c r="V35" s="4">
        <v>31</v>
      </c>
      <c r="W35" s="10" t="s">
        <v>120</v>
      </c>
      <c r="X35" s="3" t="str">
        <f>Q35</f>
        <v>kg</v>
      </c>
      <c r="Y35" s="4">
        <f t="shared" si="2"/>
        <v>711.8</v>
      </c>
      <c r="Z35" s="164">
        <v>1.06</v>
      </c>
      <c r="AA35" s="4">
        <f t="shared" si="3"/>
        <v>754.50800000000004</v>
      </c>
      <c r="AH35" s="173"/>
    </row>
    <row r="36" spans="1:46" ht="18.75" customHeight="1" x14ac:dyDescent="0.25">
      <c r="A36" s="4">
        <v>32</v>
      </c>
      <c r="B36" s="10" t="s">
        <v>122</v>
      </c>
      <c r="C36" s="3" t="s">
        <v>35</v>
      </c>
      <c r="D36" s="4">
        <v>0</v>
      </c>
      <c r="E36" s="164">
        <v>0.7</v>
      </c>
      <c r="F36" s="4">
        <f t="shared" si="0"/>
        <v>0</v>
      </c>
      <c r="G36" s="12"/>
      <c r="H36" s="4">
        <v>32</v>
      </c>
      <c r="I36" s="10" t="s">
        <v>122</v>
      </c>
      <c r="J36" s="3" t="str">
        <f t="shared" ref="J36:J50" si="7">C36</f>
        <v>m</v>
      </c>
      <c r="K36" s="3"/>
      <c r="L36" s="3"/>
      <c r="M36" s="4">
        <f t="shared" si="4"/>
        <v>0</v>
      </c>
      <c r="N36" s="12"/>
      <c r="O36" s="4">
        <v>32</v>
      </c>
      <c r="P36" s="162" t="s">
        <v>122</v>
      </c>
      <c r="Q36" s="3" t="str">
        <f t="shared" ref="Q36:Q50" si="8">J36</f>
        <v>m</v>
      </c>
      <c r="R36" s="164"/>
      <c r="S36" s="164">
        <v>0.7</v>
      </c>
      <c r="T36" s="4">
        <f t="shared" si="1"/>
        <v>0</v>
      </c>
      <c r="U36" s="12"/>
      <c r="V36" s="4">
        <v>32</v>
      </c>
      <c r="W36" s="10" t="s">
        <v>122</v>
      </c>
      <c r="X36" s="3" t="str">
        <f t="shared" ref="X36:X50" si="9">Q36</f>
        <v>m</v>
      </c>
      <c r="Y36" s="4">
        <f t="shared" si="2"/>
        <v>0</v>
      </c>
      <c r="Z36" s="164">
        <v>0.7</v>
      </c>
      <c r="AA36" s="4">
        <f t="shared" si="3"/>
        <v>0</v>
      </c>
      <c r="AE36" s="25"/>
      <c r="AF36" s="29"/>
      <c r="AG36" s="27" t="s">
        <v>21</v>
      </c>
      <c r="AH36" s="173"/>
      <c r="AJ36" s="25"/>
      <c r="AK36" s="208"/>
    </row>
    <row r="37" spans="1:46" x14ac:dyDescent="0.25">
      <c r="A37" s="4">
        <v>33</v>
      </c>
      <c r="B37" s="10" t="s">
        <v>123</v>
      </c>
      <c r="C37" s="3" t="s">
        <v>35</v>
      </c>
      <c r="D37" s="4">
        <v>0</v>
      </c>
      <c r="E37" s="164">
        <v>1</v>
      </c>
      <c r="F37" s="4">
        <f t="shared" si="0"/>
        <v>0</v>
      </c>
      <c r="G37" s="12"/>
      <c r="H37" s="4">
        <v>33</v>
      </c>
      <c r="I37" s="10" t="s">
        <v>123</v>
      </c>
      <c r="J37" s="3" t="str">
        <f t="shared" si="7"/>
        <v>m</v>
      </c>
      <c r="K37" s="3"/>
      <c r="L37" s="3"/>
      <c r="M37" s="4">
        <f t="shared" si="4"/>
        <v>0</v>
      </c>
      <c r="N37" s="12"/>
      <c r="O37" s="4">
        <v>33</v>
      </c>
      <c r="P37" s="162" t="s">
        <v>123</v>
      </c>
      <c r="Q37" s="3" t="str">
        <f t="shared" si="8"/>
        <v>m</v>
      </c>
      <c r="R37" s="164"/>
      <c r="S37" s="164">
        <v>1</v>
      </c>
      <c r="T37" s="4">
        <f t="shared" si="1"/>
        <v>0</v>
      </c>
      <c r="U37" s="12"/>
      <c r="V37" s="4">
        <v>33</v>
      </c>
      <c r="W37" s="10" t="s">
        <v>123</v>
      </c>
      <c r="X37" s="3" t="str">
        <f t="shared" si="9"/>
        <v>m</v>
      </c>
      <c r="Y37" s="4">
        <f t="shared" si="2"/>
        <v>0</v>
      </c>
      <c r="Z37" s="164">
        <v>1</v>
      </c>
      <c r="AA37" s="4">
        <f t="shared" si="3"/>
        <v>0</v>
      </c>
      <c r="AH37" s="173"/>
      <c r="AO37" t="s">
        <v>198</v>
      </c>
    </row>
    <row r="38" spans="1:46" x14ac:dyDescent="0.25">
      <c r="A38" s="4">
        <v>34</v>
      </c>
      <c r="B38" s="10" t="s">
        <v>124</v>
      </c>
      <c r="C38" s="3" t="s">
        <v>35</v>
      </c>
      <c r="D38" s="4">
        <v>0</v>
      </c>
      <c r="E38" s="164">
        <v>0.66</v>
      </c>
      <c r="F38" s="4">
        <f t="shared" si="0"/>
        <v>0</v>
      </c>
      <c r="G38" s="12"/>
      <c r="H38" s="4">
        <v>34</v>
      </c>
      <c r="I38" s="10" t="s">
        <v>124</v>
      </c>
      <c r="J38" s="3" t="str">
        <f t="shared" si="7"/>
        <v>m</v>
      </c>
      <c r="K38" s="3"/>
      <c r="L38" s="3"/>
      <c r="M38" s="4">
        <f t="shared" si="4"/>
        <v>0</v>
      </c>
      <c r="N38" s="12"/>
      <c r="O38" s="4">
        <v>34</v>
      </c>
      <c r="P38" s="162" t="s">
        <v>124</v>
      </c>
      <c r="Q38" s="3" t="str">
        <f t="shared" si="8"/>
        <v>m</v>
      </c>
      <c r="R38" s="164"/>
      <c r="S38" s="164">
        <v>0.66</v>
      </c>
      <c r="T38" s="4">
        <f t="shared" si="1"/>
        <v>0</v>
      </c>
      <c r="U38" s="12"/>
      <c r="V38" s="4">
        <v>34</v>
      </c>
      <c r="W38" s="10" t="s">
        <v>124</v>
      </c>
      <c r="X38" s="3" t="str">
        <f t="shared" si="9"/>
        <v>m</v>
      </c>
      <c r="Y38" s="4">
        <f t="shared" si="2"/>
        <v>0</v>
      </c>
      <c r="Z38" s="164">
        <v>0.66</v>
      </c>
      <c r="AA38" s="4">
        <f t="shared" si="3"/>
        <v>0</v>
      </c>
      <c r="AE38" s="119" t="s">
        <v>14</v>
      </c>
      <c r="AF38" s="233" t="s">
        <v>15</v>
      </c>
      <c r="AG38" s="119" t="s">
        <v>16</v>
      </c>
      <c r="AH38" s="234" t="s">
        <v>17</v>
      </c>
      <c r="AI38" s="119" t="s">
        <v>78</v>
      </c>
      <c r="AJ38" s="119" t="s">
        <v>18</v>
      </c>
      <c r="AK38" s="119" t="s">
        <v>19</v>
      </c>
      <c r="AN38" s="3" t="s">
        <v>194</v>
      </c>
      <c r="AO38" s="3" t="s">
        <v>195</v>
      </c>
      <c r="AP38" s="3" t="s">
        <v>196</v>
      </c>
      <c r="AQ38" s="3" t="s">
        <v>197</v>
      </c>
      <c r="AR38" s="3">
        <v>120</v>
      </c>
      <c r="AS38" s="3">
        <v>14.83</v>
      </c>
      <c r="AT38" s="3">
        <f>AR38*AS38</f>
        <v>1779.6</v>
      </c>
    </row>
    <row r="39" spans="1:46" x14ac:dyDescent="0.25">
      <c r="A39" s="4">
        <v>35</v>
      </c>
      <c r="B39" s="10" t="s">
        <v>125</v>
      </c>
      <c r="C39" s="3" t="s">
        <v>35</v>
      </c>
      <c r="D39" s="4">
        <v>0</v>
      </c>
      <c r="E39" s="164">
        <v>0.4</v>
      </c>
      <c r="F39" s="4">
        <f t="shared" si="0"/>
        <v>0</v>
      </c>
      <c r="G39" s="12"/>
      <c r="H39" s="4">
        <v>35</v>
      </c>
      <c r="I39" s="10" t="s">
        <v>125</v>
      </c>
      <c r="J39" s="3" t="str">
        <f t="shared" si="7"/>
        <v>m</v>
      </c>
      <c r="K39" s="3"/>
      <c r="L39" s="3"/>
      <c r="M39" s="4">
        <f t="shared" si="4"/>
        <v>0</v>
      </c>
      <c r="N39" s="12"/>
      <c r="O39" s="4">
        <v>35</v>
      </c>
      <c r="P39" s="162" t="s">
        <v>125</v>
      </c>
      <c r="Q39" s="3" t="str">
        <f t="shared" si="8"/>
        <v>m</v>
      </c>
      <c r="R39" s="164"/>
      <c r="S39" s="164">
        <v>0.4</v>
      </c>
      <c r="T39" s="4">
        <f t="shared" si="1"/>
        <v>0</v>
      </c>
      <c r="U39" s="12"/>
      <c r="V39" s="4">
        <v>35</v>
      </c>
      <c r="W39" s="10" t="s">
        <v>125</v>
      </c>
      <c r="X39" s="3" t="str">
        <f t="shared" si="9"/>
        <v>m</v>
      </c>
      <c r="Y39" s="4">
        <f t="shared" si="2"/>
        <v>0</v>
      </c>
      <c r="Z39" s="164">
        <v>0.4</v>
      </c>
      <c r="AA39" s="4">
        <f t="shared" si="3"/>
        <v>0</v>
      </c>
      <c r="AE39" s="235" t="s">
        <v>201</v>
      </c>
      <c r="AF39" s="235" t="s">
        <v>249</v>
      </c>
      <c r="AG39" s="236" t="s">
        <v>250</v>
      </c>
      <c r="AH39" s="148">
        <v>58</v>
      </c>
      <c r="AI39" s="147"/>
      <c r="AJ39" s="147">
        <f t="shared" ref="AJ39:AJ55" si="10">AH39*4*1.18</f>
        <v>273.76</v>
      </c>
      <c r="AK39" s="231" t="s">
        <v>204</v>
      </c>
    </row>
    <row r="40" spans="1:46" x14ac:dyDescent="0.25">
      <c r="A40" s="4">
        <v>36</v>
      </c>
      <c r="B40" s="10" t="s">
        <v>126</v>
      </c>
      <c r="C40" s="3" t="s">
        <v>37</v>
      </c>
      <c r="D40" s="4">
        <v>0</v>
      </c>
      <c r="E40" s="164">
        <v>0.3</v>
      </c>
      <c r="F40" s="4">
        <f t="shared" si="0"/>
        <v>0</v>
      </c>
      <c r="G40" s="12"/>
      <c r="H40" s="4">
        <v>36</v>
      </c>
      <c r="I40" s="10" t="s">
        <v>126</v>
      </c>
      <c r="J40" s="3" t="str">
        <f t="shared" si="7"/>
        <v>cop</v>
      </c>
      <c r="K40" s="3"/>
      <c r="L40" s="3"/>
      <c r="M40" s="4">
        <f t="shared" si="4"/>
        <v>0</v>
      </c>
      <c r="N40" s="12"/>
      <c r="O40" s="4">
        <v>36</v>
      </c>
      <c r="P40" s="162" t="s">
        <v>126</v>
      </c>
      <c r="Q40" s="3" t="str">
        <f t="shared" si="8"/>
        <v>cop</v>
      </c>
      <c r="R40" s="164"/>
      <c r="S40" s="164">
        <v>0.3</v>
      </c>
      <c r="T40" s="4">
        <f t="shared" si="1"/>
        <v>0</v>
      </c>
      <c r="U40" s="12"/>
      <c r="V40" s="4">
        <v>36</v>
      </c>
      <c r="W40" s="10" t="s">
        <v>126</v>
      </c>
      <c r="X40" s="3" t="str">
        <f t="shared" si="9"/>
        <v>cop</v>
      </c>
      <c r="Y40" s="4">
        <f t="shared" si="2"/>
        <v>0</v>
      </c>
      <c r="Z40" s="164">
        <v>0.3</v>
      </c>
      <c r="AA40" s="4">
        <f t="shared" si="3"/>
        <v>0</v>
      </c>
      <c r="AE40" s="235" t="s">
        <v>194</v>
      </c>
      <c r="AF40" s="235" t="s">
        <v>205</v>
      </c>
      <c r="AG40" s="236" t="s">
        <v>250</v>
      </c>
      <c r="AH40" s="148">
        <v>55</v>
      </c>
      <c r="AI40" s="147"/>
      <c r="AJ40" s="147">
        <f t="shared" si="10"/>
        <v>259.59999999999997</v>
      </c>
      <c r="AK40" s="147" t="s">
        <v>204</v>
      </c>
    </row>
    <row r="41" spans="1:46" x14ac:dyDescent="0.25">
      <c r="A41" s="4">
        <v>37</v>
      </c>
      <c r="B41" s="10" t="s">
        <v>127</v>
      </c>
      <c r="C41" s="3" t="s">
        <v>35</v>
      </c>
      <c r="D41" s="4">
        <v>0</v>
      </c>
      <c r="E41" s="164">
        <v>0.4</v>
      </c>
      <c r="F41" s="4">
        <f t="shared" si="0"/>
        <v>0</v>
      </c>
      <c r="G41" s="12"/>
      <c r="H41" s="4">
        <v>37</v>
      </c>
      <c r="I41" s="10" t="s">
        <v>127</v>
      </c>
      <c r="J41" s="3" t="str">
        <f t="shared" si="7"/>
        <v>m</v>
      </c>
      <c r="K41" s="3"/>
      <c r="L41" s="3"/>
      <c r="M41" s="4">
        <f t="shared" si="4"/>
        <v>0</v>
      </c>
      <c r="N41" s="12"/>
      <c r="O41" s="4">
        <v>37</v>
      </c>
      <c r="P41" s="162" t="s">
        <v>127</v>
      </c>
      <c r="Q41" s="3" t="str">
        <f t="shared" si="8"/>
        <v>m</v>
      </c>
      <c r="R41" s="164"/>
      <c r="S41" s="164">
        <v>0.4</v>
      </c>
      <c r="T41" s="4">
        <f t="shared" si="1"/>
        <v>0</v>
      </c>
      <c r="U41" s="12"/>
      <c r="V41" s="4">
        <v>37</v>
      </c>
      <c r="W41" s="10" t="s">
        <v>127</v>
      </c>
      <c r="X41" s="3" t="str">
        <f t="shared" si="9"/>
        <v>m</v>
      </c>
      <c r="Y41" s="4">
        <f t="shared" si="2"/>
        <v>0</v>
      </c>
      <c r="Z41" s="164">
        <v>0.4</v>
      </c>
      <c r="AA41" s="4">
        <f t="shared" si="3"/>
        <v>0</v>
      </c>
      <c r="AE41" s="235" t="s">
        <v>206</v>
      </c>
      <c r="AF41" s="235" t="s">
        <v>207</v>
      </c>
      <c r="AG41" s="236" t="s">
        <v>251</v>
      </c>
      <c r="AH41" s="148">
        <v>324.39999999999998</v>
      </c>
      <c r="AI41" s="147"/>
      <c r="AJ41" s="147">
        <f t="shared" si="10"/>
        <v>1531.1679999999999</v>
      </c>
      <c r="AK41" s="147" t="s">
        <v>204</v>
      </c>
    </row>
    <row r="42" spans="1:46" x14ac:dyDescent="0.25">
      <c r="A42" s="4">
        <v>38</v>
      </c>
      <c r="B42" s="10" t="s">
        <v>128</v>
      </c>
      <c r="C42" s="3" t="s">
        <v>37</v>
      </c>
      <c r="D42" s="4">
        <v>0</v>
      </c>
      <c r="E42" s="164">
        <v>0.86</v>
      </c>
      <c r="F42" s="4">
        <f t="shared" si="0"/>
        <v>0</v>
      </c>
      <c r="G42" s="12"/>
      <c r="H42" s="4">
        <v>38</v>
      </c>
      <c r="I42" s="10" t="s">
        <v>128</v>
      </c>
      <c r="J42" s="3" t="str">
        <f t="shared" si="7"/>
        <v>cop</v>
      </c>
      <c r="K42" s="3"/>
      <c r="L42" s="3"/>
      <c r="M42" s="4">
        <f t="shared" si="4"/>
        <v>0</v>
      </c>
      <c r="N42" s="12"/>
      <c r="O42" s="4">
        <v>38</v>
      </c>
      <c r="P42" s="162" t="s">
        <v>128</v>
      </c>
      <c r="Q42" s="3" t="str">
        <f t="shared" si="8"/>
        <v>cop</v>
      </c>
      <c r="R42" s="164"/>
      <c r="S42" s="164">
        <v>0.86</v>
      </c>
      <c r="T42" s="4">
        <f t="shared" si="1"/>
        <v>0</v>
      </c>
      <c r="U42" s="12"/>
      <c r="V42" s="4">
        <v>38</v>
      </c>
      <c r="W42" s="10" t="s">
        <v>128</v>
      </c>
      <c r="X42" s="3" t="str">
        <f t="shared" si="9"/>
        <v>cop</v>
      </c>
      <c r="Y42" s="4">
        <f t="shared" si="2"/>
        <v>0</v>
      </c>
      <c r="Z42" s="164">
        <v>0.86</v>
      </c>
      <c r="AA42" s="4">
        <f t="shared" si="3"/>
        <v>0</v>
      </c>
      <c r="AE42" s="235" t="s">
        <v>209</v>
      </c>
      <c r="AF42" s="235" t="s">
        <v>210</v>
      </c>
      <c r="AG42" s="236" t="s">
        <v>252</v>
      </c>
      <c r="AH42" s="148">
        <v>212</v>
      </c>
      <c r="AI42" s="147"/>
      <c r="AJ42" s="147">
        <f t="shared" si="10"/>
        <v>1000.64</v>
      </c>
      <c r="AK42" s="147" t="s">
        <v>204</v>
      </c>
    </row>
    <row r="43" spans="1:46" x14ac:dyDescent="0.25">
      <c r="A43" s="4">
        <v>39</v>
      </c>
      <c r="B43" s="10" t="s">
        <v>129</v>
      </c>
      <c r="C43" s="3" t="s">
        <v>37</v>
      </c>
      <c r="D43" s="4">
        <v>0</v>
      </c>
      <c r="E43" s="164">
        <v>0.7</v>
      </c>
      <c r="F43" s="4">
        <f t="shared" si="0"/>
        <v>0</v>
      </c>
      <c r="G43" s="12"/>
      <c r="H43" s="4">
        <v>39</v>
      </c>
      <c r="I43" s="10" t="s">
        <v>129</v>
      </c>
      <c r="J43" s="3" t="str">
        <f t="shared" si="7"/>
        <v>cop</v>
      </c>
      <c r="K43" s="3"/>
      <c r="L43" s="3"/>
      <c r="M43" s="4">
        <f t="shared" si="4"/>
        <v>0</v>
      </c>
      <c r="N43" s="12"/>
      <c r="O43" s="4">
        <v>39</v>
      </c>
      <c r="P43" s="162" t="s">
        <v>129</v>
      </c>
      <c r="Q43" s="3" t="str">
        <f t="shared" si="8"/>
        <v>cop</v>
      </c>
      <c r="R43" s="164"/>
      <c r="S43" s="164">
        <v>0.7</v>
      </c>
      <c r="T43" s="4">
        <f t="shared" si="1"/>
        <v>0</v>
      </c>
      <c r="U43" s="12"/>
      <c r="V43" s="4">
        <v>39</v>
      </c>
      <c r="W43" s="10" t="s">
        <v>129</v>
      </c>
      <c r="X43" s="3" t="str">
        <f t="shared" si="9"/>
        <v>cop</v>
      </c>
      <c r="Y43" s="4">
        <f t="shared" si="2"/>
        <v>0</v>
      </c>
      <c r="Z43" s="164">
        <v>0.7</v>
      </c>
      <c r="AA43" s="4">
        <f t="shared" si="3"/>
        <v>0</v>
      </c>
      <c r="AE43" s="235" t="s">
        <v>212</v>
      </c>
      <c r="AF43" s="235" t="s">
        <v>213</v>
      </c>
      <c r="AG43" s="236" t="s">
        <v>214</v>
      </c>
      <c r="AH43" s="148">
        <v>125.3</v>
      </c>
      <c r="AI43" s="147"/>
      <c r="AJ43" s="147">
        <f t="shared" si="10"/>
        <v>591.41599999999994</v>
      </c>
      <c r="AK43" s="147" t="s">
        <v>204</v>
      </c>
    </row>
    <row r="44" spans="1:46" x14ac:dyDescent="0.25">
      <c r="A44" s="4">
        <v>40</v>
      </c>
      <c r="B44" s="10" t="s">
        <v>130</v>
      </c>
      <c r="C44" s="3" t="s">
        <v>35</v>
      </c>
      <c r="D44" s="4">
        <v>1500</v>
      </c>
      <c r="E44" s="164">
        <v>3.46</v>
      </c>
      <c r="F44" s="4">
        <f t="shared" si="0"/>
        <v>5190</v>
      </c>
      <c r="G44" s="12"/>
      <c r="H44" s="4">
        <v>40</v>
      </c>
      <c r="I44" s="10" t="s">
        <v>130</v>
      </c>
      <c r="J44" s="3" t="str">
        <f t="shared" si="7"/>
        <v>m</v>
      </c>
      <c r="K44" s="3"/>
      <c r="L44" s="3"/>
      <c r="M44" s="4">
        <f t="shared" si="4"/>
        <v>0</v>
      </c>
      <c r="N44" s="12"/>
      <c r="O44" s="4">
        <v>40</v>
      </c>
      <c r="P44" s="162" t="s">
        <v>130</v>
      </c>
      <c r="Q44" s="3" t="str">
        <f t="shared" si="8"/>
        <v>m</v>
      </c>
      <c r="R44" s="163"/>
      <c r="S44" s="163"/>
      <c r="T44" s="4">
        <f t="shared" si="1"/>
        <v>0</v>
      </c>
      <c r="U44" s="12"/>
      <c r="V44" s="4">
        <v>40</v>
      </c>
      <c r="W44" s="10" t="s">
        <v>130</v>
      </c>
      <c r="X44" s="3" t="str">
        <f t="shared" si="9"/>
        <v>m</v>
      </c>
      <c r="Y44" s="4">
        <f t="shared" si="2"/>
        <v>1500</v>
      </c>
      <c r="Z44" s="164">
        <v>3.46</v>
      </c>
      <c r="AA44" s="4">
        <f t="shared" si="3"/>
        <v>5190</v>
      </c>
      <c r="AE44" s="237" t="s">
        <v>212</v>
      </c>
      <c r="AF44" s="238" t="s">
        <v>253</v>
      </c>
      <c r="AG44" s="239" t="s">
        <v>231</v>
      </c>
      <c r="AH44" s="148">
        <v>62</v>
      </c>
      <c r="AI44" s="119"/>
      <c r="AJ44" s="147">
        <f t="shared" si="10"/>
        <v>292.64</v>
      </c>
      <c r="AK44" s="147" t="s">
        <v>204</v>
      </c>
    </row>
    <row r="45" spans="1:46" x14ac:dyDescent="0.25">
      <c r="A45" s="4">
        <v>41</v>
      </c>
      <c r="B45" s="10" t="s">
        <v>131</v>
      </c>
      <c r="C45" s="3" t="s">
        <v>35</v>
      </c>
      <c r="D45" s="4">
        <v>0</v>
      </c>
      <c r="E45" s="164">
        <v>32</v>
      </c>
      <c r="F45" s="4">
        <f t="shared" si="0"/>
        <v>0</v>
      </c>
      <c r="G45" s="12"/>
      <c r="H45" s="4">
        <v>41</v>
      </c>
      <c r="I45" s="10" t="s">
        <v>131</v>
      </c>
      <c r="J45" s="3" t="str">
        <f t="shared" si="7"/>
        <v>m</v>
      </c>
      <c r="K45" s="3"/>
      <c r="L45" s="3"/>
      <c r="M45" s="4">
        <f t="shared" si="4"/>
        <v>0</v>
      </c>
      <c r="N45" s="12"/>
      <c r="O45" s="4">
        <v>41</v>
      </c>
      <c r="P45" s="162" t="s">
        <v>131</v>
      </c>
      <c r="Q45" s="3" t="str">
        <f t="shared" si="8"/>
        <v>m</v>
      </c>
      <c r="R45" s="164"/>
      <c r="S45" s="164">
        <v>32</v>
      </c>
      <c r="T45" s="4">
        <f t="shared" si="1"/>
        <v>0</v>
      </c>
      <c r="U45" s="12"/>
      <c r="V45" s="4">
        <v>41</v>
      </c>
      <c r="W45" s="10" t="s">
        <v>131</v>
      </c>
      <c r="X45" s="3" t="str">
        <f t="shared" si="9"/>
        <v>m</v>
      </c>
      <c r="Y45" s="4">
        <f t="shared" si="2"/>
        <v>0</v>
      </c>
      <c r="Z45" s="164">
        <v>32</v>
      </c>
      <c r="AA45" s="4">
        <f t="shared" si="3"/>
        <v>0</v>
      </c>
      <c r="AE45" s="235" t="s">
        <v>215</v>
      </c>
      <c r="AF45" s="235" t="s">
        <v>216</v>
      </c>
      <c r="AG45" s="236" t="s">
        <v>184</v>
      </c>
      <c r="AH45" s="148">
        <v>510.6</v>
      </c>
      <c r="AI45" s="147"/>
      <c r="AJ45" s="147">
        <f t="shared" si="10"/>
        <v>2410.0320000000002</v>
      </c>
      <c r="AK45" s="147"/>
    </row>
    <row r="46" spans="1:46" x14ac:dyDescent="0.25">
      <c r="A46" s="4">
        <v>42</v>
      </c>
      <c r="B46" s="10" t="s">
        <v>132</v>
      </c>
      <c r="C46" s="3" t="s">
        <v>35</v>
      </c>
      <c r="D46" s="4">
        <v>0</v>
      </c>
      <c r="E46" s="164">
        <v>26.6</v>
      </c>
      <c r="F46" s="4">
        <f t="shared" si="0"/>
        <v>0</v>
      </c>
      <c r="G46" s="12"/>
      <c r="H46" s="4">
        <v>42</v>
      </c>
      <c r="I46" s="10" t="s">
        <v>132</v>
      </c>
      <c r="J46" s="3" t="str">
        <f t="shared" si="7"/>
        <v>m</v>
      </c>
      <c r="K46" s="3"/>
      <c r="L46" s="3"/>
      <c r="M46" s="4">
        <f t="shared" si="4"/>
        <v>0</v>
      </c>
      <c r="N46" s="12"/>
      <c r="O46" s="4">
        <v>42</v>
      </c>
      <c r="P46" s="162" t="s">
        <v>132</v>
      </c>
      <c r="Q46" s="3" t="str">
        <f t="shared" si="8"/>
        <v>m</v>
      </c>
      <c r="R46" s="164"/>
      <c r="S46" s="164">
        <v>26.6</v>
      </c>
      <c r="T46" s="4">
        <f t="shared" si="1"/>
        <v>0</v>
      </c>
      <c r="U46" s="12"/>
      <c r="V46" s="4">
        <v>42</v>
      </c>
      <c r="W46" s="10" t="s">
        <v>132</v>
      </c>
      <c r="X46" s="3" t="str">
        <f t="shared" si="9"/>
        <v>m</v>
      </c>
      <c r="Y46" s="4">
        <f t="shared" si="2"/>
        <v>0</v>
      </c>
      <c r="Z46" s="164">
        <v>26.6</v>
      </c>
      <c r="AA46" s="4">
        <f t="shared" si="3"/>
        <v>0</v>
      </c>
      <c r="AE46" s="235" t="s">
        <v>218</v>
      </c>
      <c r="AF46" s="235" t="s">
        <v>219</v>
      </c>
      <c r="AG46" s="236" t="s">
        <v>254</v>
      </c>
      <c r="AH46" s="148">
        <v>246.5</v>
      </c>
      <c r="AI46" s="147"/>
      <c r="AJ46" s="147">
        <f t="shared" si="10"/>
        <v>1163.48</v>
      </c>
      <c r="AK46" s="119"/>
    </row>
    <row r="47" spans="1:46" x14ac:dyDescent="0.25">
      <c r="A47" s="4">
        <v>43</v>
      </c>
      <c r="B47" s="10" t="s">
        <v>133</v>
      </c>
      <c r="C47" s="3" t="s">
        <v>35</v>
      </c>
      <c r="D47" s="4">
        <v>0</v>
      </c>
      <c r="E47" s="164">
        <v>45</v>
      </c>
      <c r="F47" s="4">
        <f t="shared" si="0"/>
        <v>0</v>
      </c>
      <c r="G47" s="12"/>
      <c r="H47" s="4">
        <v>43</v>
      </c>
      <c r="I47" s="10" t="s">
        <v>133</v>
      </c>
      <c r="J47" s="3" t="str">
        <f t="shared" si="7"/>
        <v>m</v>
      </c>
      <c r="K47" s="3"/>
      <c r="L47" s="3"/>
      <c r="M47" s="4">
        <f t="shared" si="4"/>
        <v>0</v>
      </c>
      <c r="N47" s="12"/>
      <c r="O47" s="4">
        <v>43</v>
      </c>
      <c r="P47" s="162" t="s">
        <v>133</v>
      </c>
      <c r="Q47" s="3" t="str">
        <f t="shared" si="8"/>
        <v>m</v>
      </c>
      <c r="R47" s="164"/>
      <c r="S47" s="164">
        <v>45</v>
      </c>
      <c r="T47" s="4">
        <f t="shared" si="1"/>
        <v>0</v>
      </c>
      <c r="U47" s="12"/>
      <c r="V47" s="4">
        <v>43</v>
      </c>
      <c r="W47" s="10" t="s">
        <v>133</v>
      </c>
      <c r="X47" s="3" t="str">
        <f t="shared" si="9"/>
        <v>m</v>
      </c>
      <c r="Y47" s="4">
        <f t="shared" si="2"/>
        <v>0</v>
      </c>
      <c r="Z47" s="164">
        <v>45</v>
      </c>
      <c r="AA47" s="4">
        <f t="shared" si="3"/>
        <v>0</v>
      </c>
      <c r="AE47" s="235" t="s">
        <v>221</v>
      </c>
      <c r="AF47" s="235" t="s">
        <v>222</v>
      </c>
      <c r="AG47" s="236" t="s">
        <v>184</v>
      </c>
      <c r="AH47" s="148">
        <v>366.6</v>
      </c>
      <c r="AI47" s="148"/>
      <c r="AJ47" s="147">
        <f t="shared" si="10"/>
        <v>1730.3520000000001</v>
      </c>
      <c r="AK47" s="147"/>
    </row>
    <row r="48" spans="1:46" x14ac:dyDescent="0.25">
      <c r="A48" s="4">
        <v>44</v>
      </c>
      <c r="B48" s="10" t="s">
        <v>134</v>
      </c>
      <c r="C48" s="3" t="s">
        <v>35</v>
      </c>
      <c r="D48" s="4">
        <v>0</v>
      </c>
      <c r="E48" s="164">
        <v>45.5</v>
      </c>
      <c r="F48" s="4">
        <f t="shared" si="0"/>
        <v>0</v>
      </c>
      <c r="G48" s="12"/>
      <c r="H48" s="4">
        <v>44</v>
      </c>
      <c r="I48" s="10" t="s">
        <v>134</v>
      </c>
      <c r="J48" s="3" t="str">
        <f t="shared" si="7"/>
        <v>m</v>
      </c>
      <c r="K48" s="3"/>
      <c r="L48" s="3"/>
      <c r="M48" s="4">
        <f t="shared" si="4"/>
        <v>0</v>
      </c>
      <c r="N48" s="12"/>
      <c r="O48" s="4">
        <v>44</v>
      </c>
      <c r="P48" s="162" t="s">
        <v>134</v>
      </c>
      <c r="Q48" s="3" t="str">
        <f t="shared" si="8"/>
        <v>m</v>
      </c>
      <c r="R48" s="164"/>
      <c r="S48" s="164">
        <v>45.5</v>
      </c>
      <c r="T48" s="4">
        <f t="shared" si="1"/>
        <v>0</v>
      </c>
      <c r="U48" s="12"/>
      <c r="V48" s="4">
        <v>44</v>
      </c>
      <c r="W48" s="10" t="s">
        <v>134</v>
      </c>
      <c r="X48" s="3" t="str">
        <f t="shared" si="9"/>
        <v>m</v>
      </c>
      <c r="Y48" s="4">
        <f t="shared" si="2"/>
        <v>0</v>
      </c>
      <c r="Z48" s="164">
        <v>45.5</v>
      </c>
      <c r="AA48" s="4">
        <f t="shared" si="3"/>
        <v>0</v>
      </c>
      <c r="AE48" s="150" t="s">
        <v>221</v>
      </c>
      <c r="AF48" s="151" t="s">
        <v>223</v>
      </c>
      <c r="AG48" s="236" t="s">
        <v>184</v>
      </c>
      <c r="AH48" s="156">
        <v>418.8</v>
      </c>
      <c r="AI48" s="147"/>
      <c r="AJ48" s="147">
        <f t="shared" si="10"/>
        <v>1976.7359999999999</v>
      </c>
      <c r="AK48" s="147" t="s">
        <v>204</v>
      </c>
    </row>
    <row r="49" spans="1:37" x14ac:dyDescent="0.25">
      <c r="A49" s="4">
        <v>45</v>
      </c>
      <c r="B49" s="10" t="s">
        <v>135</v>
      </c>
      <c r="C49" s="3" t="s">
        <v>35</v>
      </c>
      <c r="D49" s="4">
        <v>0</v>
      </c>
      <c r="E49" s="164">
        <v>34.799999999999997</v>
      </c>
      <c r="F49" s="4">
        <f t="shared" si="0"/>
        <v>0</v>
      </c>
      <c r="G49" s="12"/>
      <c r="H49" s="4">
        <v>45</v>
      </c>
      <c r="I49" s="10" t="s">
        <v>135</v>
      </c>
      <c r="J49" s="3" t="str">
        <f t="shared" si="7"/>
        <v>m</v>
      </c>
      <c r="K49" s="3"/>
      <c r="L49" s="3"/>
      <c r="M49" s="4">
        <f t="shared" si="4"/>
        <v>0</v>
      </c>
      <c r="N49" s="12"/>
      <c r="O49" s="4">
        <v>45</v>
      </c>
      <c r="P49" s="162" t="s">
        <v>135</v>
      </c>
      <c r="Q49" s="3" t="str">
        <f t="shared" si="8"/>
        <v>m</v>
      </c>
      <c r="R49" s="164"/>
      <c r="S49" s="164">
        <v>34.799999999999997</v>
      </c>
      <c r="T49" s="4">
        <f t="shared" si="1"/>
        <v>0</v>
      </c>
      <c r="U49" s="12"/>
      <c r="V49" s="4">
        <v>45</v>
      </c>
      <c r="W49" s="10" t="s">
        <v>135</v>
      </c>
      <c r="X49" s="3" t="str">
        <f t="shared" si="9"/>
        <v>m</v>
      </c>
      <c r="Y49" s="4">
        <f t="shared" si="2"/>
        <v>0</v>
      </c>
      <c r="Z49" s="164">
        <v>34.799999999999997</v>
      </c>
      <c r="AA49" s="4">
        <f t="shared" si="3"/>
        <v>0</v>
      </c>
      <c r="AE49" s="150" t="s">
        <v>224</v>
      </c>
      <c r="AF49" s="151" t="s">
        <v>225</v>
      </c>
      <c r="AG49" s="240" t="s">
        <v>255</v>
      </c>
      <c r="AH49" s="156">
        <v>56.8</v>
      </c>
      <c r="AI49" s="147"/>
      <c r="AJ49" s="147">
        <f t="shared" si="10"/>
        <v>268.09599999999995</v>
      </c>
      <c r="AK49" s="147" t="s">
        <v>204</v>
      </c>
    </row>
    <row r="50" spans="1:37" x14ac:dyDescent="0.25">
      <c r="A50" s="4">
        <v>46</v>
      </c>
      <c r="B50" s="10" t="s">
        <v>137</v>
      </c>
      <c r="C50" s="3" t="s">
        <v>35</v>
      </c>
      <c r="D50" s="4">
        <v>0</v>
      </c>
      <c r="E50" s="164">
        <v>23</v>
      </c>
      <c r="F50" s="4">
        <f t="shared" si="0"/>
        <v>0</v>
      </c>
      <c r="G50" s="12"/>
      <c r="H50" s="4">
        <v>46</v>
      </c>
      <c r="I50" s="10" t="s">
        <v>137</v>
      </c>
      <c r="J50" s="3" t="str">
        <f t="shared" si="7"/>
        <v>m</v>
      </c>
      <c r="K50" s="3"/>
      <c r="L50" s="3"/>
      <c r="M50" s="4">
        <f t="shared" si="4"/>
        <v>0</v>
      </c>
      <c r="N50" s="12"/>
      <c r="O50" s="4">
        <v>46</v>
      </c>
      <c r="P50" s="162" t="s">
        <v>137</v>
      </c>
      <c r="Q50" s="3" t="str">
        <f t="shared" si="8"/>
        <v>m</v>
      </c>
      <c r="R50" s="164"/>
      <c r="S50" s="164">
        <v>23</v>
      </c>
      <c r="T50" s="4">
        <f t="shared" si="1"/>
        <v>0</v>
      </c>
      <c r="U50" s="12"/>
      <c r="V50" s="4">
        <v>46</v>
      </c>
      <c r="W50" s="10" t="s">
        <v>137</v>
      </c>
      <c r="X50" s="3" t="str">
        <f t="shared" si="9"/>
        <v>m</v>
      </c>
      <c r="Y50" s="4">
        <f t="shared" si="2"/>
        <v>0</v>
      </c>
      <c r="Z50" s="164">
        <v>23</v>
      </c>
      <c r="AA50" s="4">
        <f t="shared" si="3"/>
        <v>0</v>
      </c>
      <c r="AE50" s="150" t="s">
        <v>227</v>
      </c>
      <c r="AF50" s="151" t="s">
        <v>228</v>
      </c>
      <c r="AG50" s="240" t="s">
        <v>256</v>
      </c>
      <c r="AH50" s="156">
        <v>65.400000000000006</v>
      </c>
      <c r="AI50" s="147"/>
      <c r="AJ50" s="147">
        <f t="shared" si="10"/>
        <v>308.68799999999999</v>
      </c>
      <c r="AK50" s="147" t="s">
        <v>204</v>
      </c>
    </row>
    <row r="51" spans="1:37" x14ac:dyDescent="0.25">
      <c r="A51" s="4">
        <v>47</v>
      </c>
      <c r="B51" s="10" t="s">
        <v>146</v>
      </c>
      <c r="C51" s="3" t="s">
        <v>34</v>
      </c>
      <c r="D51" s="4">
        <v>36.4</v>
      </c>
      <c r="E51" s="164">
        <v>1.91</v>
      </c>
      <c r="F51" s="4">
        <f t="shared" si="0"/>
        <v>69.524000000000001</v>
      </c>
      <c r="G51" s="12"/>
      <c r="H51" s="4">
        <v>47</v>
      </c>
      <c r="I51" s="10" t="s">
        <v>146</v>
      </c>
      <c r="J51" s="3" t="s">
        <v>34</v>
      </c>
      <c r="K51" s="3"/>
      <c r="L51" s="3">
        <v>1.91</v>
      </c>
      <c r="M51" s="4">
        <f t="shared" si="4"/>
        <v>0</v>
      </c>
      <c r="N51" s="12"/>
      <c r="O51" s="4">
        <v>47</v>
      </c>
      <c r="P51" s="162" t="str">
        <f>I51</f>
        <v>Guarnicione per dyer dritare</v>
      </c>
      <c r="Q51" s="3" t="s">
        <v>34</v>
      </c>
      <c r="R51" s="164"/>
      <c r="S51" s="164"/>
      <c r="T51" s="4">
        <f t="shared" si="1"/>
        <v>0</v>
      </c>
      <c r="U51" s="12"/>
      <c r="V51" s="4">
        <v>47</v>
      </c>
      <c r="W51" s="10" t="str">
        <f>I51</f>
        <v>Guarnicione per dyer dritare</v>
      </c>
      <c r="X51" s="3" t="s">
        <v>34</v>
      </c>
      <c r="Y51" s="4">
        <f>K51-R51</f>
        <v>0</v>
      </c>
      <c r="Z51" s="164">
        <f t="shared" ref="Z51:Z60" si="11">L51</f>
        <v>1.91</v>
      </c>
      <c r="AA51" s="4">
        <f t="shared" si="3"/>
        <v>0</v>
      </c>
      <c r="AE51" s="150" t="s">
        <v>232</v>
      </c>
      <c r="AF51" s="151" t="s">
        <v>233</v>
      </c>
      <c r="AG51" s="240" t="s">
        <v>257</v>
      </c>
      <c r="AH51" s="156">
        <v>191.3</v>
      </c>
      <c r="AI51" s="147"/>
      <c r="AJ51" s="147">
        <f t="shared" si="10"/>
        <v>902.93600000000004</v>
      </c>
      <c r="AK51" s="147" t="s">
        <v>204</v>
      </c>
    </row>
    <row r="52" spans="1:37" x14ac:dyDescent="0.25">
      <c r="A52" s="4">
        <v>48</v>
      </c>
      <c r="B52" s="10" t="s">
        <v>147</v>
      </c>
      <c r="C52" s="3" t="s">
        <v>34</v>
      </c>
      <c r="D52" s="4">
        <v>18.29</v>
      </c>
      <c r="E52" s="164">
        <v>42.54</v>
      </c>
      <c r="F52" s="4">
        <f t="shared" si="0"/>
        <v>778.0566</v>
      </c>
      <c r="G52" s="12"/>
      <c r="H52" s="4">
        <v>48</v>
      </c>
      <c r="I52" s="10" t="s">
        <v>147</v>
      </c>
      <c r="J52" s="3" t="s">
        <v>34</v>
      </c>
      <c r="K52" s="3"/>
      <c r="L52" s="3">
        <v>42.54</v>
      </c>
      <c r="M52" s="4">
        <f t="shared" si="4"/>
        <v>0</v>
      </c>
      <c r="N52" s="12"/>
      <c r="O52" s="4">
        <v>48</v>
      </c>
      <c r="P52" s="162" t="str">
        <f>I52</f>
        <v>Aksesore Metalike</v>
      </c>
      <c r="Q52" s="3" t="s">
        <v>34</v>
      </c>
      <c r="R52" s="164"/>
      <c r="S52" s="164"/>
      <c r="T52" s="4">
        <f t="shared" si="1"/>
        <v>0</v>
      </c>
      <c r="U52" s="12"/>
      <c r="V52" s="4">
        <v>48</v>
      </c>
      <c r="W52" s="10" t="str">
        <f>I52</f>
        <v>Aksesore Metalike</v>
      </c>
      <c r="X52" s="3" t="s">
        <v>34</v>
      </c>
      <c r="Y52" s="4">
        <f>K52-R52</f>
        <v>0</v>
      </c>
      <c r="Z52" s="164">
        <f t="shared" si="11"/>
        <v>42.54</v>
      </c>
      <c r="AA52" s="4">
        <f t="shared" si="3"/>
        <v>0</v>
      </c>
      <c r="AE52" s="150" t="s">
        <v>235</v>
      </c>
      <c r="AF52" s="151" t="s">
        <v>236</v>
      </c>
      <c r="AG52" s="240" t="s">
        <v>258</v>
      </c>
      <c r="AH52" s="156">
        <v>71.55</v>
      </c>
      <c r="AI52" s="147"/>
      <c r="AJ52" s="147">
        <f t="shared" si="10"/>
        <v>337.71599999999995</v>
      </c>
      <c r="AK52" s="147" t="s">
        <v>204</v>
      </c>
    </row>
    <row r="53" spans="1:37" x14ac:dyDescent="0.25">
      <c r="A53" s="4">
        <v>49</v>
      </c>
      <c r="B53" s="10" t="s">
        <v>148</v>
      </c>
      <c r="C53" s="3" t="s">
        <v>37</v>
      </c>
      <c r="D53" s="4">
        <v>150</v>
      </c>
      <c r="E53" s="164">
        <v>0.31</v>
      </c>
      <c r="F53" s="4">
        <f t="shared" si="0"/>
        <v>46.5</v>
      </c>
      <c r="G53" s="12"/>
      <c r="H53" s="4">
        <v>49</v>
      </c>
      <c r="I53" s="10" t="s">
        <v>148</v>
      </c>
      <c r="J53" s="3" t="s">
        <v>37</v>
      </c>
      <c r="K53" s="3">
        <v>150</v>
      </c>
      <c r="L53" s="3">
        <v>0.31</v>
      </c>
      <c r="M53" s="4">
        <f t="shared" si="4"/>
        <v>46.5</v>
      </c>
      <c r="N53" s="12"/>
      <c r="O53" s="4">
        <v>49</v>
      </c>
      <c r="P53" s="162" t="str">
        <f t="shared" ref="P53:P61" si="12">I53</f>
        <v>Skuadreta 0331</v>
      </c>
      <c r="Q53" s="3" t="s">
        <v>37</v>
      </c>
      <c r="R53" s="164"/>
      <c r="S53" s="164"/>
      <c r="T53" s="4">
        <f t="shared" si="1"/>
        <v>0</v>
      </c>
      <c r="U53" s="12"/>
      <c r="V53" s="4">
        <v>49</v>
      </c>
      <c r="W53" s="10" t="str">
        <f t="shared" ref="W53:W61" si="13">I53</f>
        <v>Skuadreta 0331</v>
      </c>
      <c r="X53" s="3" t="s">
        <v>37</v>
      </c>
      <c r="Y53" s="4">
        <f t="shared" ref="Y53:Y61" si="14">K53-R53</f>
        <v>150</v>
      </c>
      <c r="Z53" s="164">
        <f t="shared" si="11"/>
        <v>0.31</v>
      </c>
      <c r="AA53" s="4">
        <f t="shared" si="3"/>
        <v>46.5</v>
      </c>
      <c r="AE53" s="150" t="s">
        <v>238</v>
      </c>
      <c r="AF53" s="151" t="s">
        <v>239</v>
      </c>
      <c r="AG53" s="240" t="s">
        <v>258</v>
      </c>
      <c r="AH53" s="156">
        <v>18.2</v>
      </c>
      <c r="AI53" s="147"/>
      <c r="AJ53" s="147">
        <f t="shared" si="10"/>
        <v>85.903999999999996</v>
      </c>
      <c r="AK53" s="147" t="s">
        <v>204</v>
      </c>
    </row>
    <row r="54" spans="1:37" x14ac:dyDescent="0.25">
      <c r="A54" s="4">
        <v>50</v>
      </c>
      <c r="B54" s="10" t="s">
        <v>149</v>
      </c>
      <c r="C54" s="3" t="s">
        <v>56</v>
      </c>
      <c r="D54" s="4">
        <v>300</v>
      </c>
      <c r="E54" s="164">
        <v>0.1</v>
      </c>
      <c r="F54" s="4">
        <f t="shared" si="0"/>
        <v>30</v>
      </c>
      <c r="G54" s="12"/>
      <c r="H54" s="4">
        <v>50</v>
      </c>
      <c r="I54" s="10" t="s">
        <v>149</v>
      </c>
      <c r="J54" s="3" t="s">
        <v>56</v>
      </c>
      <c r="K54" s="3">
        <v>300</v>
      </c>
      <c r="L54" s="3">
        <v>0.1</v>
      </c>
      <c r="M54" s="4">
        <f t="shared" si="4"/>
        <v>30</v>
      </c>
      <c r="N54" s="12"/>
      <c r="O54" s="4">
        <v>50</v>
      </c>
      <c r="P54" s="162" t="str">
        <f t="shared" si="12"/>
        <v>Gomine me shtypje me 2 fleta 004</v>
      </c>
      <c r="Q54" s="3" t="s">
        <v>56</v>
      </c>
      <c r="R54" s="164"/>
      <c r="S54" s="164"/>
      <c r="T54" s="4">
        <f t="shared" si="1"/>
        <v>0</v>
      </c>
      <c r="U54" s="12"/>
      <c r="V54" s="4">
        <v>50</v>
      </c>
      <c r="W54" s="10" t="str">
        <f t="shared" si="13"/>
        <v>Gomine me shtypje me 2 fleta 004</v>
      </c>
      <c r="X54" s="3" t="s">
        <v>56</v>
      </c>
      <c r="Y54" s="4">
        <f t="shared" si="14"/>
        <v>300</v>
      </c>
      <c r="Z54" s="164">
        <f t="shared" si="11"/>
        <v>0.1</v>
      </c>
      <c r="AA54" s="4">
        <f t="shared" si="3"/>
        <v>30</v>
      </c>
      <c r="AE54" s="150" t="s">
        <v>240</v>
      </c>
      <c r="AF54" s="151" t="s">
        <v>241</v>
      </c>
      <c r="AG54" s="240" t="s">
        <v>242</v>
      </c>
      <c r="AH54" s="156">
        <v>466.2</v>
      </c>
      <c r="AI54" s="147"/>
      <c r="AJ54" s="147">
        <f t="shared" si="10"/>
        <v>2200.4639999999999</v>
      </c>
      <c r="AK54" s="147" t="s">
        <v>204</v>
      </c>
    </row>
    <row r="55" spans="1:37" x14ac:dyDescent="0.25">
      <c r="A55" s="4">
        <v>51</v>
      </c>
      <c r="B55" s="10" t="s">
        <v>150</v>
      </c>
      <c r="C55" s="3" t="s">
        <v>151</v>
      </c>
      <c r="D55" s="4">
        <v>2</v>
      </c>
      <c r="E55" s="164">
        <v>5.51</v>
      </c>
      <c r="F55" s="4">
        <f t="shared" si="0"/>
        <v>11.02</v>
      </c>
      <c r="G55" s="12"/>
      <c r="H55" s="4">
        <v>51</v>
      </c>
      <c r="I55" s="10" t="s">
        <v>150</v>
      </c>
      <c r="J55" s="3" t="s">
        <v>151</v>
      </c>
      <c r="K55" s="3"/>
      <c r="L55" s="3">
        <v>5.51</v>
      </c>
      <c r="M55" s="4">
        <f t="shared" si="4"/>
        <v>0</v>
      </c>
      <c r="N55" s="12"/>
      <c r="O55" s="4">
        <v>51</v>
      </c>
      <c r="P55" s="162" t="str">
        <f t="shared" si="12"/>
        <v>Lamaqe C.E</v>
      </c>
      <c r="Q55" s="3" t="s">
        <v>151</v>
      </c>
      <c r="R55" s="164"/>
      <c r="S55" s="164"/>
      <c r="T55" s="4">
        <f t="shared" si="1"/>
        <v>0</v>
      </c>
      <c r="U55" s="12"/>
      <c r="V55" s="4">
        <v>51</v>
      </c>
      <c r="W55" s="10" t="str">
        <f t="shared" si="13"/>
        <v>Lamaqe C.E</v>
      </c>
      <c r="X55" s="3" t="s">
        <v>151</v>
      </c>
      <c r="Y55" s="4">
        <f t="shared" si="14"/>
        <v>0</v>
      </c>
      <c r="Z55" s="164">
        <f t="shared" si="11"/>
        <v>5.51</v>
      </c>
      <c r="AA55" s="4">
        <f t="shared" si="3"/>
        <v>0</v>
      </c>
      <c r="AE55" s="150" t="s">
        <v>243</v>
      </c>
      <c r="AF55" s="151" t="s">
        <v>244</v>
      </c>
      <c r="AG55" s="240" t="s">
        <v>245</v>
      </c>
      <c r="AH55" s="156">
        <v>374.2</v>
      </c>
      <c r="AI55" s="147"/>
      <c r="AJ55" s="147">
        <f t="shared" si="10"/>
        <v>1766.2239999999999</v>
      </c>
      <c r="AK55" s="147" t="s">
        <v>204</v>
      </c>
    </row>
    <row r="56" spans="1:37" x14ac:dyDescent="0.25">
      <c r="A56" s="4">
        <v>52</v>
      </c>
      <c r="B56" s="10" t="s">
        <v>152</v>
      </c>
      <c r="C56" s="3" t="s">
        <v>37</v>
      </c>
      <c r="D56" s="4">
        <v>20</v>
      </c>
      <c r="E56" s="164">
        <v>2.29</v>
      </c>
      <c r="F56" s="4">
        <f t="shared" si="0"/>
        <v>45.8</v>
      </c>
      <c r="G56" s="12"/>
      <c r="H56" s="4">
        <v>52</v>
      </c>
      <c r="I56" s="10" t="s">
        <v>152</v>
      </c>
      <c r="J56" s="3" t="s">
        <v>37</v>
      </c>
      <c r="K56" s="3"/>
      <c r="L56" s="3">
        <v>2.29</v>
      </c>
      <c r="M56" s="4">
        <f t="shared" si="4"/>
        <v>0</v>
      </c>
      <c r="N56" s="12"/>
      <c r="O56" s="4">
        <v>52</v>
      </c>
      <c r="P56" s="162" t="str">
        <f t="shared" si="12"/>
        <v>Pariziene 9005</v>
      </c>
      <c r="Q56" s="3" t="s">
        <v>37</v>
      </c>
      <c r="R56" s="164"/>
      <c r="S56" s="164"/>
      <c r="T56" s="4">
        <f t="shared" si="1"/>
        <v>0</v>
      </c>
      <c r="U56" s="12"/>
      <c r="V56" s="4">
        <v>52</v>
      </c>
      <c r="W56" s="10" t="str">
        <f t="shared" si="13"/>
        <v>Pariziene 9005</v>
      </c>
      <c r="X56" s="3" t="s">
        <v>37</v>
      </c>
      <c r="Y56" s="4">
        <f t="shared" si="14"/>
        <v>0</v>
      </c>
      <c r="Z56" s="164">
        <f t="shared" si="11"/>
        <v>2.29</v>
      </c>
      <c r="AA56" s="4">
        <f t="shared" si="3"/>
        <v>0</v>
      </c>
      <c r="AE56" s="150"/>
      <c r="AF56" s="151"/>
      <c r="AG56" s="147"/>
      <c r="AH56" s="156"/>
      <c r="AI56" s="147"/>
      <c r="AJ56" s="147">
        <f t="shared" ref="AJ56" si="15">AH56*4*1.18</f>
        <v>0</v>
      </c>
      <c r="AK56" s="149"/>
    </row>
    <row r="57" spans="1:37" x14ac:dyDescent="0.25">
      <c r="A57" s="4">
        <v>53</v>
      </c>
      <c r="B57" s="10" t="s">
        <v>153</v>
      </c>
      <c r="C57" s="3" t="s">
        <v>37</v>
      </c>
      <c r="D57" s="4">
        <v>30</v>
      </c>
      <c r="E57" s="164">
        <v>2.29</v>
      </c>
      <c r="F57" s="4">
        <f t="shared" si="0"/>
        <v>68.7</v>
      </c>
      <c r="G57" s="12"/>
      <c r="H57" s="4">
        <v>53</v>
      </c>
      <c r="I57" s="10" t="s">
        <v>153</v>
      </c>
      <c r="J57" s="3" t="s">
        <v>37</v>
      </c>
      <c r="K57" s="3">
        <v>30</v>
      </c>
      <c r="L57" s="3">
        <v>2.29</v>
      </c>
      <c r="M57" s="4">
        <f t="shared" si="4"/>
        <v>68.7</v>
      </c>
      <c r="N57" s="12"/>
      <c r="O57" s="4">
        <v>53</v>
      </c>
      <c r="P57" s="162" t="str">
        <f t="shared" si="12"/>
        <v>Spajolete Gjel 9005</v>
      </c>
      <c r="Q57" s="3" t="s">
        <v>37</v>
      </c>
      <c r="R57" s="164"/>
      <c r="S57" s="164"/>
      <c r="T57" s="4">
        <f t="shared" si="1"/>
        <v>0</v>
      </c>
      <c r="U57" s="12"/>
      <c r="V57" s="4">
        <v>53</v>
      </c>
      <c r="W57" s="10" t="str">
        <f t="shared" si="13"/>
        <v>Spajolete Gjel 9005</v>
      </c>
      <c r="X57" s="3" t="s">
        <v>37</v>
      </c>
      <c r="Y57" s="4">
        <f t="shared" si="14"/>
        <v>30</v>
      </c>
      <c r="Z57" s="164">
        <f t="shared" si="11"/>
        <v>2.29</v>
      </c>
      <c r="AA57" s="4">
        <f t="shared" si="3"/>
        <v>68.7</v>
      </c>
      <c r="AE57" s="150"/>
      <c r="AF57" s="151"/>
      <c r="AG57" s="147"/>
      <c r="AH57" s="156"/>
      <c r="AI57" s="147"/>
      <c r="AJ57" s="147"/>
      <c r="AK57" s="149"/>
    </row>
    <row r="58" spans="1:37" x14ac:dyDescent="0.25">
      <c r="A58" s="4">
        <v>54</v>
      </c>
      <c r="B58" s="10" t="s">
        <v>154</v>
      </c>
      <c r="C58" s="3" t="s">
        <v>37</v>
      </c>
      <c r="D58" s="4">
        <v>100</v>
      </c>
      <c r="E58" s="164">
        <v>0.17</v>
      </c>
      <c r="F58" s="4">
        <f t="shared" si="0"/>
        <v>17</v>
      </c>
      <c r="G58" s="12"/>
      <c r="H58" s="4">
        <v>54</v>
      </c>
      <c r="I58" s="10" t="s">
        <v>154</v>
      </c>
      <c r="J58" s="3" t="s">
        <v>37</v>
      </c>
      <c r="K58" s="3"/>
      <c r="L58" s="3">
        <v>0.17</v>
      </c>
      <c r="M58" s="4">
        <f t="shared" si="4"/>
        <v>0</v>
      </c>
      <c r="N58" s="12"/>
      <c r="O58" s="4">
        <v>54</v>
      </c>
      <c r="P58" s="162" t="str">
        <f t="shared" si="12"/>
        <v xml:space="preserve">Kendore alumil </v>
      </c>
      <c r="Q58" s="3" t="s">
        <v>37</v>
      </c>
      <c r="R58" s="164"/>
      <c r="S58" s="164"/>
      <c r="T58" s="4">
        <f t="shared" si="1"/>
        <v>0</v>
      </c>
      <c r="U58" s="12"/>
      <c r="V58" s="4">
        <v>54</v>
      </c>
      <c r="W58" s="10" t="str">
        <f t="shared" si="13"/>
        <v xml:space="preserve">Kendore alumil </v>
      </c>
      <c r="X58" s="3" t="s">
        <v>37</v>
      </c>
      <c r="Y58" s="4">
        <f t="shared" si="14"/>
        <v>0</v>
      </c>
      <c r="Z58" s="164">
        <f t="shared" si="11"/>
        <v>0.17</v>
      </c>
      <c r="AA58" s="4">
        <f t="shared" si="3"/>
        <v>0</v>
      </c>
      <c r="AE58" s="142"/>
      <c r="AF58" s="146"/>
      <c r="AG58" s="145"/>
      <c r="AH58" s="158"/>
      <c r="AI58" s="145"/>
      <c r="AJ58" s="145"/>
      <c r="AK58" s="161"/>
    </row>
    <row r="59" spans="1:37" x14ac:dyDescent="0.25">
      <c r="A59" s="4">
        <v>55</v>
      </c>
      <c r="B59" s="10" t="s">
        <v>155</v>
      </c>
      <c r="C59" s="3" t="s">
        <v>156</v>
      </c>
      <c r="D59" s="4">
        <v>48</v>
      </c>
      <c r="E59" s="164">
        <v>0.38</v>
      </c>
      <c r="F59" s="4">
        <f t="shared" si="0"/>
        <v>18.240000000000002</v>
      </c>
      <c r="G59" s="12"/>
      <c r="H59" s="4">
        <v>55</v>
      </c>
      <c r="I59" s="10" t="s">
        <v>155</v>
      </c>
      <c r="J59" s="3" t="s">
        <v>156</v>
      </c>
      <c r="K59" s="3"/>
      <c r="L59" s="3">
        <v>0.38</v>
      </c>
      <c r="M59" s="4">
        <f t="shared" si="4"/>
        <v>0</v>
      </c>
      <c r="N59" s="12"/>
      <c r="O59" s="4">
        <v>55</v>
      </c>
      <c r="P59" s="162" t="str">
        <f t="shared" si="12"/>
        <v xml:space="preserve">Tapa Ganxhe Grandi </v>
      </c>
      <c r="Q59" s="3" t="s">
        <v>156</v>
      </c>
      <c r="R59" s="164"/>
      <c r="S59" s="164"/>
      <c r="T59" s="4">
        <f t="shared" si="1"/>
        <v>0</v>
      </c>
      <c r="U59" s="12"/>
      <c r="V59" s="4">
        <v>55</v>
      </c>
      <c r="W59" s="10" t="str">
        <f t="shared" si="13"/>
        <v xml:space="preserve">Tapa Ganxhe Grandi </v>
      </c>
      <c r="X59" s="3" t="s">
        <v>156</v>
      </c>
      <c r="Y59" s="4">
        <f t="shared" si="14"/>
        <v>0</v>
      </c>
      <c r="Z59" s="164">
        <f t="shared" si="11"/>
        <v>0.38</v>
      </c>
      <c r="AA59" s="4">
        <f t="shared" si="3"/>
        <v>0</v>
      </c>
      <c r="AE59" s="142"/>
      <c r="AF59" s="146"/>
      <c r="AG59" s="145"/>
      <c r="AH59" s="158"/>
      <c r="AI59" s="145"/>
      <c r="AJ59" s="145"/>
      <c r="AK59" s="161"/>
    </row>
    <row r="60" spans="1:37" x14ac:dyDescent="0.25">
      <c r="A60" s="4">
        <v>56</v>
      </c>
      <c r="B60" s="10" t="s">
        <v>157</v>
      </c>
      <c r="C60" s="3" t="s">
        <v>37</v>
      </c>
      <c r="D60" s="4">
        <v>4</v>
      </c>
      <c r="E60" s="164">
        <v>7.63</v>
      </c>
      <c r="F60" s="4">
        <f t="shared" si="0"/>
        <v>30.52</v>
      </c>
      <c r="G60" s="12"/>
      <c r="H60" s="4">
        <v>56</v>
      </c>
      <c r="I60" s="10" t="s">
        <v>157</v>
      </c>
      <c r="J60" s="3" t="s">
        <v>37</v>
      </c>
      <c r="K60" s="3"/>
      <c r="L60" s="3">
        <v>7.63</v>
      </c>
      <c r="M60" s="4">
        <f t="shared" si="4"/>
        <v>0</v>
      </c>
      <c r="N60" s="12"/>
      <c r="O60" s="4">
        <v>56</v>
      </c>
      <c r="P60" s="162" t="str">
        <f t="shared" si="12"/>
        <v>Cilinder 35-75 Cisa</v>
      </c>
      <c r="Q60" s="3" t="s">
        <v>37</v>
      </c>
      <c r="R60" s="164"/>
      <c r="S60" s="164"/>
      <c r="T60" s="4">
        <f t="shared" si="1"/>
        <v>0</v>
      </c>
      <c r="U60" s="12"/>
      <c r="V60" s="4">
        <v>56</v>
      </c>
      <c r="W60" s="10" t="str">
        <f t="shared" si="13"/>
        <v>Cilinder 35-75 Cisa</v>
      </c>
      <c r="X60" s="3" t="s">
        <v>37</v>
      </c>
      <c r="Y60" s="4">
        <f t="shared" si="14"/>
        <v>0</v>
      </c>
      <c r="Z60" s="164">
        <f t="shared" si="11"/>
        <v>7.63</v>
      </c>
      <c r="AA60" s="4">
        <f t="shared" si="3"/>
        <v>0</v>
      </c>
      <c r="AE60" s="142"/>
      <c r="AF60" s="146"/>
      <c r="AG60" s="145"/>
      <c r="AH60" s="158"/>
      <c r="AI60" s="145"/>
      <c r="AJ60" s="145"/>
      <c r="AK60" s="161"/>
    </row>
    <row r="61" spans="1:37" x14ac:dyDescent="0.25">
      <c r="A61" s="185">
        <v>57</v>
      </c>
      <c r="B61" s="189" t="s">
        <v>158</v>
      </c>
      <c r="C61" s="187" t="s">
        <v>37</v>
      </c>
      <c r="D61" s="185">
        <v>150</v>
      </c>
      <c r="E61" s="188">
        <v>0.75</v>
      </c>
      <c r="F61" s="4">
        <f t="shared" si="0"/>
        <v>112.5</v>
      </c>
      <c r="G61" s="12"/>
      <c r="H61" s="185">
        <v>57</v>
      </c>
      <c r="I61" s="189" t="s">
        <v>158</v>
      </c>
      <c r="J61" s="187" t="s">
        <v>37</v>
      </c>
      <c r="K61" s="187"/>
      <c r="L61" s="187">
        <v>0.75</v>
      </c>
      <c r="M61" s="4">
        <f t="shared" si="4"/>
        <v>0</v>
      </c>
      <c r="N61" s="12"/>
      <c r="O61" s="185">
        <v>57</v>
      </c>
      <c r="P61" s="186" t="str">
        <f t="shared" si="12"/>
        <v>Skuadreta 0389</v>
      </c>
      <c r="Q61" s="187" t="s">
        <v>37</v>
      </c>
      <c r="R61" s="188"/>
      <c r="S61" s="188"/>
      <c r="T61" s="4">
        <f t="shared" si="1"/>
        <v>0</v>
      </c>
      <c r="U61" s="12"/>
      <c r="V61" s="185">
        <v>57</v>
      </c>
      <c r="W61" s="189" t="str">
        <f t="shared" si="13"/>
        <v>Skuadreta 0389</v>
      </c>
      <c r="X61" s="187" t="s">
        <v>37</v>
      </c>
      <c r="Y61" s="185">
        <f t="shared" si="14"/>
        <v>0</v>
      </c>
      <c r="Z61" s="188">
        <f t="shared" ref="Z61" si="16">L61</f>
        <v>0.75</v>
      </c>
      <c r="AA61" s="4">
        <f t="shared" si="3"/>
        <v>0</v>
      </c>
      <c r="AE61" s="142"/>
      <c r="AF61" s="146"/>
      <c r="AG61" s="145"/>
      <c r="AH61" s="158"/>
      <c r="AI61" s="145"/>
      <c r="AJ61" s="145"/>
      <c r="AK61" s="161"/>
    </row>
    <row r="62" spans="1:37" x14ac:dyDescent="0.25">
      <c r="A62" s="4">
        <v>58</v>
      </c>
      <c r="B62" s="10" t="s">
        <v>136</v>
      </c>
      <c r="C62" s="3" t="s">
        <v>35</v>
      </c>
      <c r="D62" s="4">
        <v>6</v>
      </c>
      <c r="E62" s="164">
        <v>18</v>
      </c>
      <c r="F62" s="4">
        <f t="shared" si="0"/>
        <v>108</v>
      </c>
      <c r="G62" s="190"/>
      <c r="H62" s="4">
        <v>58</v>
      </c>
      <c r="I62" s="10" t="s">
        <v>136</v>
      </c>
      <c r="J62" s="3" t="str">
        <f>C62</f>
        <v>m</v>
      </c>
      <c r="K62" s="3"/>
      <c r="L62" s="3"/>
      <c r="M62" s="4">
        <f t="shared" si="4"/>
        <v>0</v>
      </c>
      <c r="N62" s="190"/>
      <c r="O62" s="4">
        <v>58</v>
      </c>
      <c r="P62" s="162" t="s">
        <v>136</v>
      </c>
      <c r="Q62" s="3" t="str">
        <f>J62</f>
        <v>m</v>
      </c>
      <c r="R62" s="163"/>
      <c r="S62" s="163"/>
      <c r="T62" s="4">
        <f t="shared" si="1"/>
        <v>0</v>
      </c>
      <c r="U62" s="190"/>
      <c r="V62" s="4">
        <v>58</v>
      </c>
      <c r="W62" s="10" t="s">
        <v>136</v>
      </c>
      <c r="X62" s="3" t="str">
        <f>Q62</f>
        <v>m</v>
      </c>
      <c r="Y62" s="4">
        <f t="shared" si="2"/>
        <v>6</v>
      </c>
      <c r="Z62" s="164">
        <v>18</v>
      </c>
      <c r="AA62" s="4">
        <f t="shared" si="3"/>
        <v>108</v>
      </c>
      <c r="AE62" s="142"/>
      <c r="AF62" s="146"/>
      <c r="AG62" s="145"/>
      <c r="AH62" s="158"/>
      <c r="AI62" s="145"/>
      <c r="AJ62" s="145"/>
      <c r="AK62" s="161"/>
    </row>
    <row r="63" spans="1:37" x14ac:dyDescent="0.25">
      <c r="A63" s="4">
        <v>59</v>
      </c>
      <c r="B63" s="10" t="s">
        <v>513</v>
      </c>
      <c r="C63" s="3" t="s">
        <v>35</v>
      </c>
      <c r="D63" s="4">
        <v>0</v>
      </c>
      <c r="E63" s="164">
        <v>0</v>
      </c>
      <c r="F63" s="4">
        <f t="shared" si="0"/>
        <v>0</v>
      </c>
      <c r="G63" s="190"/>
      <c r="H63" s="4">
        <v>59</v>
      </c>
      <c r="I63" s="10" t="s">
        <v>513</v>
      </c>
      <c r="J63" s="3" t="s">
        <v>35</v>
      </c>
      <c r="K63" s="3">
        <v>400</v>
      </c>
      <c r="L63" s="3">
        <v>0.23</v>
      </c>
      <c r="M63" s="4">
        <f t="shared" si="4"/>
        <v>92</v>
      </c>
      <c r="N63" s="190"/>
      <c r="O63" s="4">
        <v>59</v>
      </c>
      <c r="P63" s="10" t="s">
        <v>513</v>
      </c>
      <c r="Q63" s="3" t="s">
        <v>35</v>
      </c>
      <c r="R63" s="163"/>
      <c r="S63" s="163"/>
      <c r="T63" s="4">
        <f t="shared" si="1"/>
        <v>0</v>
      </c>
      <c r="U63" s="190"/>
      <c r="V63" s="4">
        <v>59</v>
      </c>
      <c r="W63" s="10" t="s">
        <v>513</v>
      </c>
      <c r="X63" s="3" t="s">
        <v>35</v>
      </c>
      <c r="Y63" s="4">
        <f t="shared" si="2"/>
        <v>400</v>
      </c>
      <c r="Z63" s="164">
        <v>0.33</v>
      </c>
      <c r="AA63" s="4">
        <f t="shared" si="3"/>
        <v>132</v>
      </c>
      <c r="AE63" s="142"/>
      <c r="AF63" s="146"/>
      <c r="AG63" s="145"/>
      <c r="AH63" s="158"/>
      <c r="AI63" s="145"/>
      <c r="AJ63" s="145"/>
      <c r="AK63" s="161"/>
    </row>
    <row r="64" spans="1:37" x14ac:dyDescent="0.25">
      <c r="A64" s="4"/>
      <c r="B64" s="10"/>
      <c r="C64" s="3"/>
      <c r="D64" s="4"/>
      <c r="E64" s="164"/>
      <c r="F64" s="4">
        <f t="shared" si="0"/>
        <v>0</v>
      </c>
      <c r="G64" s="190"/>
      <c r="H64" s="4"/>
      <c r="I64" s="10"/>
      <c r="J64" s="3"/>
      <c r="K64" s="3"/>
      <c r="L64" s="3"/>
      <c r="M64" s="4">
        <f t="shared" si="4"/>
        <v>0</v>
      </c>
      <c r="N64" s="190"/>
      <c r="O64" s="4"/>
      <c r="P64" s="162"/>
      <c r="Q64" s="3"/>
      <c r="R64" s="163"/>
      <c r="S64" s="163"/>
      <c r="T64" s="4">
        <f t="shared" si="1"/>
        <v>0</v>
      </c>
      <c r="U64" s="190"/>
      <c r="V64" s="4"/>
      <c r="W64" s="10"/>
      <c r="X64" s="3"/>
      <c r="Y64" s="4"/>
      <c r="Z64" s="164"/>
      <c r="AA64" s="4">
        <f t="shared" si="3"/>
        <v>0</v>
      </c>
      <c r="AE64" s="142"/>
      <c r="AF64" s="146"/>
      <c r="AG64" s="145"/>
      <c r="AH64" s="158"/>
      <c r="AI64" s="145"/>
      <c r="AJ64" s="145"/>
      <c r="AK64" s="161"/>
    </row>
    <row r="65" spans="1:37" x14ac:dyDescent="0.25">
      <c r="A65" s="4"/>
      <c r="B65" s="10"/>
      <c r="C65" s="3"/>
      <c r="D65" s="4"/>
      <c r="E65" s="164"/>
      <c r="F65" s="4">
        <f t="shared" si="0"/>
        <v>0</v>
      </c>
      <c r="G65" s="190"/>
      <c r="H65" s="4"/>
      <c r="I65" s="10"/>
      <c r="J65" s="3"/>
      <c r="K65" s="3"/>
      <c r="L65" s="3"/>
      <c r="M65" s="4">
        <f t="shared" si="4"/>
        <v>0</v>
      </c>
      <c r="N65" s="190"/>
      <c r="O65" s="4"/>
      <c r="P65" s="162"/>
      <c r="Q65" s="3"/>
      <c r="R65" s="163"/>
      <c r="S65" s="163"/>
      <c r="T65" s="4">
        <f t="shared" si="1"/>
        <v>0</v>
      </c>
      <c r="U65" s="190"/>
      <c r="V65" s="4"/>
      <c r="W65" s="10"/>
      <c r="X65" s="3"/>
      <c r="Y65" s="4"/>
      <c r="Z65" s="164"/>
      <c r="AA65" s="4">
        <f t="shared" si="3"/>
        <v>0</v>
      </c>
      <c r="AE65" s="142"/>
      <c r="AF65" s="146"/>
      <c r="AG65" s="145"/>
      <c r="AH65" s="158"/>
      <c r="AI65" s="145"/>
      <c r="AJ65" s="145"/>
      <c r="AK65" s="161"/>
    </row>
    <row r="66" spans="1:37" x14ac:dyDescent="0.25">
      <c r="A66" s="4"/>
      <c r="B66" s="10"/>
      <c r="C66" s="3"/>
      <c r="D66" s="4"/>
      <c r="E66" s="164"/>
      <c r="F66" s="4">
        <f t="shared" si="0"/>
        <v>0</v>
      </c>
      <c r="G66" s="190"/>
      <c r="H66" s="4"/>
      <c r="I66" s="10"/>
      <c r="J66" s="3"/>
      <c r="K66" s="3"/>
      <c r="L66" s="3"/>
      <c r="M66" s="4">
        <f t="shared" si="4"/>
        <v>0</v>
      </c>
      <c r="N66" s="190"/>
      <c r="O66" s="4"/>
      <c r="P66" s="162"/>
      <c r="Q66" s="3"/>
      <c r="R66" s="163"/>
      <c r="S66" s="163"/>
      <c r="T66" s="4">
        <f t="shared" si="1"/>
        <v>0</v>
      </c>
      <c r="U66" s="190"/>
      <c r="V66" s="4"/>
      <c r="W66" s="10"/>
      <c r="X66" s="3"/>
      <c r="Y66" s="4"/>
      <c r="Z66" s="164"/>
      <c r="AA66" s="4">
        <f t="shared" si="3"/>
        <v>0</v>
      </c>
      <c r="AE66" s="142"/>
      <c r="AF66" s="146"/>
      <c r="AG66" s="145"/>
      <c r="AH66" s="158"/>
      <c r="AI66" s="145"/>
      <c r="AJ66" s="145"/>
      <c r="AK66" s="161"/>
    </row>
    <row r="67" spans="1:37" s="6" customFormat="1" ht="18.75" x14ac:dyDescent="0.3">
      <c r="E67" s="13" t="s">
        <v>9</v>
      </c>
      <c r="F67" s="23">
        <f>SUM(F5:F66)</f>
        <v>113372.29860000004</v>
      </c>
      <c r="G67" s="24"/>
      <c r="L67" s="13" t="s">
        <v>9</v>
      </c>
      <c r="M67" s="23">
        <f>SUM(M5:M62)</f>
        <v>2331.0499999999997</v>
      </c>
      <c r="N67" s="24"/>
      <c r="S67" s="13" t="s">
        <v>9</v>
      </c>
      <c r="T67" s="23">
        <f>SUM(T5:T62)</f>
        <v>143264.56</v>
      </c>
      <c r="U67" s="24"/>
      <c r="Z67" s="13" t="s">
        <v>9</v>
      </c>
      <c r="AA67" s="23">
        <f>SUM(AA5:AA62)</f>
        <v>110808.97800000003</v>
      </c>
      <c r="AE67" s="142"/>
      <c r="AF67" s="146"/>
      <c r="AG67" s="145"/>
      <c r="AH67" s="158"/>
      <c r="AI67" s="145"/>
      <c r="AJ67" s="145"/>
      <c r="AK67" s="161"/>
    </row>
    <row r="68" spans="1:37" x14ac:dyDescent="0.25">
      <c r="AE68" s="150"/>
      <c r="AF68" s="151"/>
      <c r="AG68" s="147"/>
      <c r="AH68" s="156"/>
      <c r="AI68" s="147"/>
      <c r="AJ68" s="147"/>
      <c r="AK68" s="149"/>
    </row>
    <row r="69" spans="1:37" x14ac:dyDescent="0.25">
      <c r="AE69" s="142"/>
      <c r="AF69" s="146"/>
      <c r="AG69" s="145"/>
      <c r="AH69" s="158"/>
      <c r="AI69" s="145"/>
      <c r="AJ69" s="145"/>
      <c r="AK69" s="161"/>
    </row>
    <row r="70" spans="1:37" x14ac:dyDescent="0.25">
      <c r="AE70" s="142"/>
      <c r="AF70" s="146"/>
      <c r="AG70" s="145"/>
      <c r="AH70" s="158"/>
      <c r="AI70" s="145"/>
      <c r="AJ70" s="145"/>
      <c r="AK70" s="161"/>
    </row>
    <row r="71" spans="1:37" x14ac:dyDescent="0.25">
      <c r="AE71" s="142"/>
      <c r="AF71" s="146"/>
      <c r="AG71" s="145"/>
      <c r="AH71" s="158"/>
      <c r="AI71" s="145"/>
      <c r="AJ71" s="145"/>
      <c r="AK71" s="161"/>
    </row>
    <row r="72" spans="1:37" x14ac:dyDescent="0.25">
      <c r="AE72" s="142"/>
      <c r="AF72" s="146"/>
      <c r="AG72" s="145"/>
      <c r="AH72" s="158"/>
      <c r="AI72" s="145"/>
      <c r="AJ72" s="145"/>
      <c r="AK72" s="161"/>
    </row>
    <row r="73" spans="1:37" x14ac:dyDescent="0.25">
      <c r="AE73" s="142"/>
      <c r="AF73" s="146"/>
      <c r="AG73" s="145"/>
      <c r="AH73" s="158"/>
      <c r="AI73" s="145"/>
      <c r="AJ73" s="145"/>
      <c r="AK73" s="161"/>
    </row>
    <row r="74" spans="1:37" x14ac:dyDescent="0.25">
      <c r="AE74" s="142"/>
      <c r="AF74" s="146"/>
      <c r="AG74" s="145"/>
      <c r="AH74" s="158"/>
      <c r="AI74" s="145"/>
      <c r="AJ74" s="145"/>
      <c r="AK74" s="161"/>
    </row>
    <row r="75" spans="1:37" x14ac:dyDescent="0.25">
      <c r="AE75" s="142"/>
      <c r="AF75" s="146"/>
      <c r="AG75" s="145"/>
      <c r="AH75" s="158"/>
      <c r="AI75" s="145"/>
      <c r="AJ75" s="145"/>
      <c r="AK75" s="161"/>
    </row>
    <row r="76" spans="1:37" x14ac:dyDescent="0.25">
      <c r="AE76" s="142"/>
      <c r="AF76" s="146"/>
      <c r="AG76" s="145"/>
      <c r="AH76" s="158"/>
      <c r="AI76" s="145"/>
      <c r="AJ76" s="145"/>
      <c r="AK76" s="161"/>
    </row>
    <row r="77" spans="1:37" x14ac:dyDescent="0.25">
      <c r="AE77" s="142"/>
      <c r="AF77" s="146"/>
      <c r="AG77" s="145"/>
      <c r="AH77" s="158"/>
      <c r="AI77" s="145"/>
      <c r="AJ77" s="145"/>
      <c r="AK77" s="161"/>
    </row>
    <row r="78" spans="1:37" x14ac:dyDescent="0.25">
      <c r="AE78" s="142"/>
      <c r="AF78" s="146"/>
      <c r="AG78" s="145"/>
      <c r="AH78" s="158"/>
      <c r="AI78" s="145"/>
      <c r="AJ78" s="145"/>
      <c r="AK78" s="161"/>
    </row>
    <row r="79" spans="1:37" x14ac:dyDescent="0.25">
      <c r="AG79" s="2" t="s">
        <v>20</v>
      </c>
      <c r="AH79" s="173">
        <f>SUM(AH39:AH78)</f>
        <v>3622.8500000000004</v>
      </c>
      <c r="AI79" s="2">
        <f>SUM(AI39:AI78)</f>
        <v>0</v>
      </c>
      <c r="AJ79" s="2">
        <f>SUM(AJ39:AJ78)</f>
        <v>17099.851999999999</v>
      </c>
    </row>
    <row r="80" spans="1:37" x14ac:dyDescent="0.25">
      <c r="AH80" s="173"/>
    </row>
    <row r="81" spans="7:37" x14ac:dyDescent="0.25">
      <c r="I81" s="39" t="s">
        <v>66</v>
      </c>
      <c r="P81" s="39" t="s">
        <v>78</v>
      </c>
      <c r="AH81" s="173"/>
    </row>
    <row r="82" spans="7:37" x14ac:dyDescent="0.25">
      <c r="AH82" s="173"/>
    </row>
    <row r="83" spans="7:37" ht="28.5" x14ac:dyDescent="0.25">
      <c r="G83" s="128" t="s">
        <v>102</v>
      </c>
      <c r="H83" s="127" t="s">
        <v>14</v>
      </c>
      <c r="I83" s="127" t="s">
        <v>61</v>
      </c>
      <c r="J83" s="127" t="s">
        <v>71</v>
      </c>
      <c r="N83" s="128" t="s">
        <v>102</v>
      </c>
      <c r="O83" s="127" t="s">
        <v>14</v>
      </c>
      <c r="P83" s="4" t="s">
        <v>61</v>
      </c>
      <c r="Q83" s="127" t="s">
        <v>71</v>
      </c>
      <c r="AE83" s="25"/>
      <c r="AF83" s="29"/>
      <c r="AG83" s="27" t="s">
        <v>22</v>
      </c>
      <c r="AH83" s="173"/>
      <c r="AJ83" s="25"/>
      <c r="AK83" s="208"/>
    </row>
    <row r="84" spans="7:37" x14ac:dyDescent="0.25">
      <c r="G84" s="126" t="s">
        <v>103</v>
      </c>
      <c r="H84" s="127" t="s">
        <v>240</v>
      </c>
      <c r="I84" s="127" t="s">
        <v>271</v>
      </c>
      <c r="J84" s="180">
        <v>8661</v>
      </c>
      <c r="N84" s="126" t="s">
        <v>103</v>
      </c>
      <c r="O84" s="4" t="s">
        <v>240</v>
      </c>
      <c r="P84" s="4" t="s">
        <v>272</v>
      </c>
      <c r="Q84" s="180">
        <v>1420</v>
      </c>
      <c r="AH84" s="173"/>
    </row>
    <row r="85" spans="7:37" x14ac:dyDescent="0.25">
      <c r="G85" s="126" t="s">
        <v>104</v>
      </c>
      <c r="H85" s="127" t="s">
        <v>306</v>
      </c>
      <c r="I85" s="127" t="s">
        <v>307</v>
      </c>
      <c r="J85" s="180">
        <v>3582</v>
      </c>
      <c r="N85" s="126" t="s">
        <v>104</v>
      </c>
      <c r="O85" s="3"/>
      <c r="P85" s="3"/>
      <c r="Q85" s="180"/>
      <c r="AE85" s="4" t="s">
        <v>14</v>
      </c>
      <c r="AF85" s="30" t="s">
        <v>15</v>
      </c>
      <c r="AG85" s="4" t="s">
        <v>16</v>
      </c>
      <c r="AH85" s="164" t="s">
        <v>17</v>
      </c>
      <c r="AI85" s="4" t="s">
        <v>78</v>
      </c>
      <c r="AJ85" s="119" t="s">
        <v>18</v>
      </c>
      <c r="AK85" s="119" t="s">
        <v>19</v>
      </c>
    </row>
    <row r="86" spans="7:37" x14ac:dyDescent="0.25">
      <c r="G86" s="126" t="s">
        <v>105</v>
      </c>
      <c r="H86" s="127" t="s">
        <v>362</v>
      </c>
      <c r="I86" s="127" t="s">
        <v>363</v>
      </c>
      <c r="J86" s="180">
        <v>143.1</v>
      </c>
      <c r="N86" s="126" t="s">
        <v>105</v>
      </c>
      <c r="O86" s="3"/>
      <c r="P86" s="3"/>
      <c r="Q86" s="180"/>
      <c r="AE86" s="100" t="s">
        <v>246</v>
      </c>
      <c r="AF86" s="101" t="s">
        <v>247</v>
      </c>
      <c r="AG86" s="102" t="s">
        <v>248</v>
      </c>
      <c r="AH86" s="102">
        <v>529.9</v>
      </c>
      <c r="AI86" s="156"/>
      <c r="AJ86" s="145">
        <f t="shared" ref="AJ86:AJ100" si="17">AH86*4*1.18</f>
        <v>2501.1279999999997</v>
      </c>
      <c r="AK86" s="231" t="s">
        <v>204</v>
      </c>
    </row>
    <row r="87" spans="7:37" x14ac:dyDescent="0.25">
      <c r="G87" s="126" t="s">
        <v>106</v>
      </c>
      <c r="H87" s="127" t="s">
        <v>364</v>
      </c>
      <c r="I87" s="127" t="s">
        <v>431</v>
      </c>
      <c r="J87" s="180">
        <v>11525</v>
      </c>
      <c r="N87" s="126" t="s">
        <v>106</v>
      </c>
      <c r="O87" s="4"/>
      <c r="P87" s="4"/>
      <c r="Q87" s="180"/>
      <c r="AE87" s="71" t="s">
        <v>261</v>
      </c>
      <c r="AF87" s="76" t="s">
        <v>262</v>
      </c>
      <c r="AG87" s="119" t="s">
        <v>242</v>
      </c>
      <c r="AH87" s="80">
        <v>382</v>
      </c>
      <c r="AI87" s="156"/>
      <c r="AJ87" s="145">
        <f t="shared" si="17"/>
        <v>1803.04</v>
      </c>
      <c r="AK87" s="147" t="s">
        <v>204</v>
      </c>
    </row>
    <row r="88" spans="7:37" x14ac:dyDescent="0.25">
      <c r="G88" s="126" t="s">
        <v>107</v>
      </c>
      <c r="H88" s="127" t="s">
        <v>429</v>
      </c>
      <c r="I88" s="127" t="s">
        <v>430</v>
      </c>
      <c r="J88" s="180">
        <v>9957</v>
      </c>
      <c r="N88" s="126" t="s">
        <v>107</v>
      </c>
      <c r="O88" s="3"/>
      <c r="P88" s="3"/>
      <c r="Q88" s="180"/>
      <c r="AE88" s="116" t="s">
        <v>266</v>
      </c>
      <c r="AF88" s="117" t="s">
        <v>267</v>
      </c>
      <c r="AG88" s="26" t="s">
        <v>237</v>
      </c>
      <c r="AH88" s="117">
        <v>18.2</v>
      </c>
      <c r="AI88" s="156"/>
      <c r="AJ88" s="268">
        <f t="shared" si="17"/>
        <v>85.903999999999996</v>
      </c>
      <c r="AK88" s="147" t="s">
        <v>204</v>
      </c>
    </row>
    <row r="89" spans="7:37" x14ac:dyDescent="0.25">
      <c r="G89" s="126" t="s">
        <v>108</v>
      </c>
      <c r="H89" s="127"/>
      <c r="I89" s="127"/>
      <c r="J89" s="180"/>
      <c r="N89" s="126" t="s">
        <v>108</v>
      </c>
      <c r="O89" s="4"/>
      <c r="P89" s="4"/>
      <c r="Q89" s="180"/>
      <c r="AE89" s="72" t="s">
        <v>263</v>
      </c>
      <c r="AF89" s="28" t="s">
        <v>264</v>
      </c>
      <c r="AG89" s="26" t="s">
        <v>265</v>
      </c>
      <c r="AH89" s="26">
        <v>70.45</v>
      </c>
      <c r="AI89" s="156"/>
      <c r="AJ89" s="145">
        <f t="shared" si="17"/>
        <v>332.524</v>
      </c>
      <c r="AK89" s="147" t="s">
        <v>204</v>
      </c>
    </row>
    <row r="90" spans="7:37" x14ac:dyDescent="0.25">
      <c r="G90" s="126" t="s">
        <v>109</v>
      </c>
      <c r="H90" s="127"/>
      <c r="I90" s="127"/>
      <c r="J90" s="180"/>
      <c r="N90" s="126" t="s">
        <v>109</v>
      </c>
      <c r="O90" s="4"/>
      <c r="P90" s="4"/>
      <c r="Q90" s="180"/>
      <c r="AE90" s="72" t="s">
        <v>268</v>
      </c>
      <c r="AF90" s="28" t="s">
        <v>269</v>
      </c>
      <c r="AG90" s="26" t="s">
        <v>270</v>
      </c>
      <c r="AH90" s="26">
        <v>122.4</v>
      </c>
      <c r="AI90" s="156"/>
      <c r="AJ90" s="145">
        <f t="shared" si="17"/>
        <v>577.72799999999995</v>
      </c>
      <c r="AK90" s="147" t="s">
        <v>204</v>
      </c>
    </row>
    <row r="91" spans="7:37" x14ac:dyDescent="0.25">
      <c r="G91" s="126" t="s">
        <v>110</v>
      </c>
      <c r="H91" s="127"/>
      <c r="I91" s="127"/>
      <c r="J91" s="180"/>
      <c r="N91" s="126" t="s">
        <v>110</v>
      </c>
      <c r="O91" s="127"/>
      <c r="P91" s="4"/>
      <c r="Q91" s="180"/>
      <c r="AE91" s="241" t="s">
        <v>268</v>
      </c>
      <c r="AF91" s="242" t="s">
        <v>273</v>
      </c>
      <c r="AG91" s="243" t="s">
        <v>274</v>
      </c>
      <c r="AH91" s="243">
        <v>55</v>
      </c>
      <c r="AI91" s="156"/>
      <c r="AJ91" s="145">
        <f t="shared" si="17"/>
        <v>259.59999999999997</v>
      </c>
      <c r="AK91" s="147" t="s">
        <v>204</v>
      </c>
    </row>
    <row r="92" spans="7:37" x14ac:dyDescent="0.25">
      <c r="G92" s="126" t="s">
        <v>111</v>
      </c>
      <c r="H92" s="127"/>
      <c r="I92" s="127"/>
      <c r="J92" s="180"/>
      <c r="N92" s="126" t="s">
        <v>111</v>
      </c>
      <c r="O92" s="127"/>
      <c r="P92" s="127"/>
      <c r="Q92" s="127"/>
      <c r="AE92" s="72" t="s">
        <v>275</v>
      </c>
      <c r="AF92" s="77" t="s">
        <v>276</v>
      </c>
      <c r="AG92" s="26" t="s">
        <v>277</v>
      </c>
      <c r="AH92" s="77">
        <v>147.4</v>
      </c>
      <c r="AI92" s="156"/>
      <c r="AJ92" s="145">
        <f t="shared" si="17"/>
        <v>695.72799999999995</v>
      </c>
      <c r="AK92" s="149"/>
    </row>
    <row r="93" spans="7:37" x14ac:dyDescent="0.25">
      <c r="G93" s="126" t="s">
        <v>112</v>
      </c>
      <c r="H93" s="127"/>
      <c r="I93" s="127"/>
      <c r="J93" s="180"/>
      <c r="N93" s="126" t="s">
        <v>112</v>
      </c>
      <c r="O93" s="127"/>
      <c r="P93" s="127"/>
      <c r="Q93" s="127"/>
      <c r="AE93" s="245" t="s">
        <v>278</v>
      </c>
      <c r="AF93" s="246" t="s">
        <v>279</v>
      </c>
      <c r="AG93" s="248" t="s">
        <v>280</v>
      </c>
      <c r="AH93" s="246">
        <v>223.7</v>
      </c>
      <c r="AI93" s="156"/>
      <c r="AJ93" s="145">
        <v>1315.46</v>
      </c>
      <c r="AK93" s="149"/>
    </row>
    <row r="94" spans="7:37" x14ac:dyDescent="0.25">
      <c r="G94" s="126" t="s">
        <v>113</v>
      </c>
      <c r="H94" s="127"/>
      <c r="I94" s="127"/>
      <c r="J94" s="180"/>
      <c r="N94" s="126" t="s">
        <v>113</v>
      </c>
      <c r="O94" s="127"/>
      <c r="P94" s="127"/>
      <c r="Q94" s="127"/>
      <c r="AE94" s="249" t="s">
        <v>281</v>
      </c>
      <c r="AF94" s="195" t="s">
        <v>282</v>
      </c>
      <c r="AG94" s="234" t="s">
        <v>283</v>
      </c>
      <c r="AH94" s="195">
        <v>146.30000000000001</v>
      </c>
      <c r="AI94" s="158"/>
      <c r="AJ94" s="145">
        <f t="shared" si="17"/>
        <v>690.53600000000006</v>
      </c>
      <c r="AK94" s="161"/>
    </row>
    <row r="95" spans="7:37" x14ac:dyDescent="0.25">
      <c r="G95" s="126" t="s">
        <v>114</v>
      </c>
      <c r="H95" s="127"/>
      <c r="I95" s="127"/>
      <c r="J95" s="127"/>
      <c r="N95" s="126" t="s">
        <v>114</v>
      </c>
      <c r="O95" s="127"/>
      <c r="P95" s="127"/>
      <c r="Q95" s="127"/>
      <c r="AE95" s="245" t="s">
        <v>281</v>
      </c>
      <c r="AF95" s="246" t="s">
        <v>284</v>
      </c>
      <c r="AG95" s="248" t="s">
        <v>285</v>
      </c>
      <c r="AH95" s="246">
        <v>352</v>
      </c>
      <c r="AI95" s="158"/>
      <c r="AJ95" s="145">
        <f t="shared" si="17"/>
        <v>1661.4399999999998</v>
      </c>
      <c r="AK95" s="161"/>
    </row>
    <row r="96" spans="7:37" x14ac:dyDescent="0.25">
      <c r="G96" s="126" t="s">
        <v>115</v>
      </c>
      <c r="H96" s="127"/>
      <c r="I96" s="127"/>
      <c r="J96" s="127"/>
      <c r="N96" s="126" t="s">
        <v>115</v>
      </c>
      <c r="O96" s="127"/>
      <c r="P96" s="127"/>
      <c r="Q96" s="127"/>
      <c r="AE96" s="116" t="s">
        <v>286</v>
      </c>
      <c r="AF96" s="117" t="s">
        <v>287</v>
      </c>
      <c r="AG96" s="26" t="s">
        <v>288</v>
      </c>
      <c r="AH96" s="117">
        <v>412.2</v>
      </c>
      <c r="AI96" s="158"/>
      <c r="AJ96" s="145">
        <f t="shared" si="17"/>
        <v>1945.5839999999998</v>
      </c>
      <c r="AK96" s="161"/>
    </row>
    <row r="97" spans="7:37" x14ac:dyDescent="0.25">
      <c r="G97" s="126" t="s">
        <v>116</v>
      </c>
      <c r="H97" s="127"/>
      <c r="I97" s="127"/>
      <c r="J97" s="127"/>
      <c r="N97" s="126" t="s">
        <v>116</v>
      </c>
      <c r="O97" s="127"/>
      <c r="P97" s="127"/>
      <c r="Q97" s="127"/>
      <c r="AE97" s="249" t="s">
        <v>289</v>
      </c>
      <c r="AF97" s="195" t="s">
        <v>290</v>
      </c>
      <c r="AG97" s="26" t="s">
        <v>291</v>
      </c>
      <c r="AH97" s="195">
        <v>118.2</v>
      </c>
      <c r="AI97" s="156"/>
      <c r="AJ97" s="145">
        <f t="shared" si="17"/>
        <v>557.904</v>
      </c>
      <c r="AK97" s="149"/>
    </row>
    <row r="98" spans="7:37" x14ac:dyDescent="0.25">
      <c r="G98" s="126" t="s">
        <v>117</v>
      </c>
      <c r="H98" s="127"/>
      <c r="I98" s="127"/>
      <c r="J98" s="127"/>
      <c r="N98" s="126" t="s">
        <v>117</v>
      </c>
      <c r="O98" s="127"/>
      <c r="P98" s="127"/>
      <c r="Q98" s="127"/>
      <c r="AE98" s="116" t="s">
        <v>292</v>
      </c>
      <c r="AF98" s="117" t="s">
        <v>293</v>
      </c>
      <c r="AG98" s="119" t="s">
        <v>294</v>
      </c>
      <c r="AH98" s="117">
        <v>663.4</v>
      </c>
      <c r="AI98" s="158"/>
      <c r="AJ98" s="145">
        <f t="shared" si="17"/>
        <v>3131.2479999999996</v>
      </c>
      <c r="AK98" s="161"/>
    </row>
    <row r="99" spans="7:37" x14ac:dyDescent="0.25">
      <c r="G99" s="126"/>
      <c r="H99" s="127"/>
      <c r="I99" s="127"/>
      <c r="J99" s="127"/>
      <c r="N99" s="128"/>
      <c r="O99" s="127"/>
      <c r="P99" s="127"/>
      <c r="Q99" s="127"/>
      <c r="AE99" s="116" t="s">
        <v>292</v>
      </c>
      <c r="AF99" s="117" t="s">
        <v>295</v>
      </c>
      <c r="AG99" s="119" t="s">
        <v>296</v>
      </c>
      <c r="AH99" s="117">
        <v>383</v>
      </c>
      <c r="AI99" s="145"/>
      <c r="AJ99" s="145">
        <f t="shared" si="17"/>
        <v>1807.76</v>
      </c>
      <c r="AK99" s="161"/>
    </row>
    <row r="100" spans="7:37" x14ac:dyDescent="0.25">
      <c r="G100" s="126"/>
      <c r="H100" s="127"/>
      <c r="I100" s="127"/>
      <c r="J100" s="127"/>
      <c r="N100" s="128"/>
      <c r="O100" s="127"/>
      <c r="P100" s="127"/>
      <c r="Q100" s="127"/>
      <c r="AE100" s="116" t="s">
        <v>297</v>
      </c>
      <c r="AF100" s="117" t="s">
        <v>298</v>
      </c>
      <c r="AG100" s="119" t="s">
        <v>299</v>
      </c>
      <c r="AH100" s="117">
        <v>179.4</v>
      </c>
      <c r="AI100" s="145"/>
      <c r="AJ100" s="145">
        <f t="shared" si="17"/>
        <v>846.76800000000003</v>
      </c>
      <c r="AK100" s="161"/>
    </row>
    <row r="101" spans="7:37" x14ac:dyDescent="0.25">
      <c r="G101" s="126"/>
      <c r="H101" s="127"/>
      <c r="I101" s="127"/>
      <c r="J101" s="127"/>
      <c r="N101" s="128"/>
      <c r="O101" s="127"/>
      <c r="P101" s="127"/>
      <c r="Q101" s="127"/>
      <c r="AE101" s="116" t="s">
        <v>297</v>
      </c>
      <c r="AF101" s="117" t="s">
        <v>302</v>
      </c>
      <c r="AG101" s="119" t="s">
        <v>303</v>
      </c>
      <c r="AH101" s="117">
        <v>60</v>
      </c>
      <c r="AI101" s="145"/>
      <c r="AJ101" s="145">
        <f t="shared" ref="AJ101:AJ105" si="18">AH101*4*1.18</f>
        <v>283.2</v>
      </c>
      <c r="AK101" s="161"/>
    </row>
    <row r="102" spans="7:37" x14ac:dyDescent="0.25">
      <c r="G102" s="126"/>
      <c r="H102" s="127"/>
      <c r="I102" s="127"/>
      <c r="J102" s="127"/>
      <c r="N102" s="128"/>
      <c r="O102" s="127"/>
      <c r="P102" s="127"/>
      <c r="Q102" s="127"/>
      <c r="AE102" s="142"/>
      <c r="AF102" s="146"/>
      <c r="AG102" s="119"/>
      <c r="AH102" s="117"/>
      <c r="AI102" s="145"/>
      <c r="AJ102" s="145">
        <f t="shared" si="18"/>
        <v>0</v>
      </c>
      <c r="AK102" s="161"/>
    </row>
    <row r="103" spans="7:37" x14ac:dyDescent="0.25">
      <c r="G103" s="126"/>
      <c r="H103" s="127"/>
      <c r="I103" s="127"/>
      <c r="J103" s="127"/>
      <c r="N103" s="128"/>
      <c r="O103" s="127"/>
      <c r="P103" s="127"/>
      <c r="Q103" s="127"/>
      <c r="AE103" s="142"/>
      <c r="AF103" s="146"/>
      <c r="AG103" s="145"/>
      <c r="AH103" s="158"/>
      <c r="AI103" s="145"/>
      <c r="AJ103" s="145">
        <f t="shared" si="18"/>
        <v>0</v>
      </c>
      <c r="AK103" s="161"/>
    </row>
    <row r="104" spans="7:37" x14ac:dyDescent="0.25">
      <c r="G104" s="126"/>
      <c r="H104" s="127"/>
      <c r="I104" s="127"/>
      <c r="J104" s="127"/>
      <c r="N104" s="128"/>
      <c r="O104" s="127"/>
      <c r="P104" s="127"/>
      <c r="Q104" s="127"/>
      <c r="AE104" s="142"/>
      <c r="AF104" s="146"/>
      <c r="AG104" s="145"/>
      <c r="AH104" s="158"/>
      <c r="AI104" s="145"/>
      <c r="AJ104" s="145">
        <f t="shared" si="18"/>
        <v>0</v>
      </c>
      <c r="AK104" s="161"/>
    </row>
    <row r="105" spans="7:37" x14ac:dyDescent="0.25">
      <c r="G105" s="126"/>
      <c r="H105" s="127"/>
      <c r="I105" s="127"/>
      <c r="J105" s="127"/>
      <c r="N105" s="128"/>
      <c r="O105" s="127"/>
      <c r="P105" s="127"/>
      <c r="Q105" s="127"/>
      <c r="AE105" s="142"/>
      <c r="AF105" s="146"/>
      <c r="AG105" s="145"/>
      <c r="AH105" s="158"/>
      <c r="AI105" s="145"/>
      <c r="AJ105" s="145">
        <f t="shared" si="18"/>
        <v>0</v>
      </c>
      <c r="AK105" s="161"/>
    </row>
    <row r="106" spans="7:37" x14ac:dyDescent="0.25">
      <c r="G106" s="126"/>
      <c r="H106" s="127"/>
      <c r="I106" s="127"/>
      <c r="J106" s="127"/>
      <c r="N106" s="128"/>
      <c r="O106" s="127"/>
      <c r="P106" s="127"/>
      <c r="Q106" s="127"/>
      <c r="AE106" s="142"/>
      <c r="AF106" s="146"/>
      <c r="AG106" s="145"/>
      <c r="AH106" s="158"/>
      <c r="AI106" s="145"/>
      <c r="AJ106" s="145"/>
      <c r="AK106" s="161"/>
    </row>
    <row r="107" spans="7:37" x14ac:dyDescent="0.25">
      <c r="G107" s="126"/>
      <c r="H107" s="127"/>
      <c r="I107" s="127"/>
      <c r="J107" s="127"/>
      <c r="N107" s="128"/>
      <c r="O107" s="127"/>
      <c r="P107" s="127"/>
      <c r="Q107" s="127"/>
      <c r="AE107" s="142"/>
      <c r="AF107" s="146"/>
      <c r="AG107" s="145"/>
      <c r="AH107" s="158"/>
      <c r="AI107" s="145"/>
      <c r="AJ107" s="145"/>
      <c r="AK107" s="161"/>
    </row>
    <row r="108" spans="7:37" x14ac:dyDescent="0.25">
      <c r="G108" s="126"/>
      <c r="H108" s="127"/>
      <c r="I108" s="127"/>
      <c r="J108" s="127"/>
      <c r="N108" s="128"/>
      <c r="O108" s="127"/>
      <c r="P108" s="127"/>
      <c r="Q108" s="127"/>
      <c r="AE108" s="142"/>
      <c r="AF108" s="146"/>
      <c r="AG108" s="145"/>
      <c r="AH108" s="158"/>
      <c r="AI108" s="145"/>
      <c r="AJ108" s="145"/>
      <c r="AK108" s="161"/>
    </row>
    <row r="109" spans="7:37" x14ac:dyDescent="0.25">
      <c r="J109">
        <f>SUM(J84:J108)</f>
        <v>33868.1</v>
      </c>
      <c r="Q109">
        <f>SUM(Q84:Q108)</f>
        <v>1420</v>
      </c>
      <c r="AE109" s="142"/>
      <c r="AF109" s="146"/>
      <c r="AG109" s="145"/>
      <c r="AH109" s="158"/>
      <c r="AI109" s="145"/>
      <c r="AJ109" s="145"/>
      <c r="AK109" s="161"/>
    </row>
    <row r="110" spans="7:37" x14ac:dyDescent="0.25">
      <c r="AG110" s="2" t="s">
        <v>20</v>
      </c>
      <c r="AH110" s="173">
        <f>SUM(AH86:AH109)</f>
        <v>3863.55</v>
      </c>
      <c r="AI110" s="2">
        <f>SUM(AI86:AI109)</f>
        <v>0</v>
      </c>
      <c r="AJ110" s="2">
        <f>SUM(AJ86:AJ109)</f>
        <v>18495.552000000003</v>
      </c>
    </row>
    <row r="111" spans="7:37" x14ac:dyDescent="0.25">
      <c r="AH111" s="173"/>
    </row>
    <row r="112" spans="7:37" x14ac:dyDescent="0.25">
      <c r="AH112" s="173"/>
    </row>
    <row r="113" spans="31:37" x14ac:dyDescent="0.25">
      <c r="AH113" s="173"/>
    </row>
    <row r="114" spans="31:37" ht="28.5" x14ac:dyDescent="0.25">
      <c r="AE114" s="25"/>
      <c r="AF114" s="29"/>
      <c r="AG114" s="27" t="s">
        <v>23</v>
      </c>
      <c r="AH114" s="173"/>
      <c r="AJ114" s="25"/>
      <c r="AK114" s="208"/>
    </row>
    <row r="115" spans="31:37" x14ac:dyDescent="0.25">
      <c r="AH115" s="173"/>
    </row>
    <row r="116" spans="31:37" x14ac:dyDescent="0.25">
      <c r="AE116" s="4" t="s">
        <v>14</v>
      </c>
      <c r="AF116" s="30" t="s">
        <v>15</v>
      </c>
      <c r="AG116" s="4" t="s">
        <v>16</v>
      </c>
      <c r="AH116" s="164" t="s">
        <v>17</v>
      </c>
      <c r="AI116" s="4" t="s">
        <v>78</v>
      </c>
      <c r="AJ116" s="4" t="s">
        <v>18</v>
      </c>
      <c r="AK116" s="210" t="s">
        <v>19</v>
      </c>
    </row>
    <row r="117" spans="31:37" x14ac:dyDescent="0.25">
      <c r="AE117" s="100" t="s">
        <v>309</v>
      </c>
      <c r="AF117" s="101" t="s">
        <v>310</v>
      </c>
      <c r="AG117" s="102" t="s">
        <v>248</v>
      </c>
      <c r="AH117" s="102">
        <v>288.7</v>
      </c>
      <c r="AI117" s="4"/>
      <c r="AJ117" s="4">
        <f t="shared" ref="AJ117:AJ132" si="19">AH117*4*1.18</f>
        <v>1362.664</v>
      </c>
      <c r="AK117" s="135"/>
    </row>
    <row r="118" spans="31:37" x14ac:dyDescent="0.25">
      <c r="AE118" s="71" t="s">
        <v>311</v>
      </c>
      <c r="AF118" s="76" t="s">
        <v>312</v>
      </c>
      <c r="AG118" s="88" t="s">
        <v>313</v>
      </c>
      <c r="AH118" s="80">
        <v>366.6</v>
      </c>
      <c r="AI118" s="4"/>
      <c r="AJ118" s="4">
        <f t="shared" si="19"/>
        <v>1730.3520000000001</v>
      </c>
      <c r="AK118" s="210"/>
    </row>
    <row r="119" spans="31:37" x14ac:dyDescent="0.25">
      <c r="AE119" s="72" t="s">
        <v>314</v>
      </c>
      <c r="AF119" s="28" t="s">
        <v>315</v>
      </c>
      <c r="AG119" s="26" t="s">
        <v>316</v>
      </c>
      <c r="AH119" s="26">
        <v>273.2</v>
      </c>
      <c r="AI119" s="4"/>
      <c r="AJ119" s="4">
        <f t="shared" si="19"/>
        <v>1289.5039999999999</v>
      </c>
      <c r="AK119" s="210"/>
    </row>
    <row r="120" spans="31:37" x14ac:dyDescent="0.25">
      <c r="AE120" s="125" t="s">
        <v>314</v>
      </c>
      <c r="AF120" s="76" t="s">
        <v>317</v>
      </c>
      <c r="AG120" s="80" t="s">
        <v>318</v>
      </c>
      <c r="AH120" s="80">
        <v>211.9</v>
      </c>
      <c r="AI120" s="4"/>
      <c r="AJ120" s="4">
        <f t="shared" si="19"/>
        <v>1000.168</v>
      </c>
      <c r="AK120" s="210"/>
    </row>
    <row r="121" spans="31:37" x14ac:dyDescent="0.25">
      <c r="AE121" s="116" t="s">
        <v>314</v>
      </c>
      <c r="AF121" s="117" t="s">
        <v>319</v>
      </c>
      <c r="AG121" s="119" t="s">
        <v>294</v>
      </c>
      <c r="AH121" s="117">
        <v>1483.2</v>
      </c>
      <c r="AI121" s="4"/>
      <c r="AJ121" s="4">
        <f t="shared" si="19"/>
        <v>7000.7039999999997</v>
      </c>
      <c r="AK121" s="210"/>
    </row>
    <row r="122" spans="31:37" x14ac:dyDescent="0.25">
      <c r="AE122" s="72" t="s">
        <v>314</v>
      </c>
      <c r="AF122" s="28" t="s">
        <v>320</v>
      </c>
      <c r="AG122" s="154" t="s">
        <v>248</v>
      </c>
      <c r="AH122" s="26">
        <v>201.8</v>
      </c>
      <c r="AI122" s="4"/>
      <c r="AJ122" s="4">
        <f t="shared" si="19"/>
        <v>952.49599999999998</v>
      </c>
      <c r="AK122" s="114"/>
    </row>
    <row r="123" spans="31:37" x14ac:dyDescent="0.25">
      <c r="AE123" s="116" t="s">
        <v>322</v>
      </c>
      <c r="AF123" s="117" t="s">
        <v>323</v>
      </c>
      <c r="AG123" s="119" t="s">
        <v>294</v>
      </c>
      <c r="AH123" s="117">
        <v>530</v>
      </c>
      <c r="AI123" s="4"/>
      <c r="AJ123" s="4">
        <f t="shared" si="19"/>
        <v>2501.6</v>
      </c>
      <c r="AK123" s="114"/>
    </row>
    <row r="124" spans="31:37" x14ac:dyDescent="0.25">
      <c r="AE124" s="125" t="s">
        <v>326</v>
      </c>
      <c r="AF124" s="76" t="s">
        <v>327</v>
      </c>
      <c r="AG124" s="80" t="s">
        <v>318</v>
      </c>
      <c r="AH124" s="80">
        <v>60</v>
      </c>
      <c r="AI124" s="4"/>
      <c r="AJ124" s="4">
        <f t="shared" si="19"/>
        <v>283.2</v>
      </c>
      <c r="AK124" s="210"/>
    </row>
    <row r="125" spans="31:37" x14ac:dyDescent="0.25">
      <c r="AE125" s="249" t="s">
        <v>328</v>
      </c>
      <c r="AF125" s="195" t="s">
        <v>329</v>
      </c>
      <c r="AG125" s="26" t="s">
        <v>291</v>
      </c>
      <c r="AH125" s="195">
        <v>90.8</v>
      </c>
      <c r="AI125" s="4"/>
      <c r="AJ125" s="4">
        <f t="shared" si="19"/>
        <v>428.57599999999996</v>
      </c>
      <c r="AK125" s="210"/>
    </row>
    <row r="126" spans="31:37" x14ac:dyDescent="0.25">
      <c r="AE126" s="121" t="s">
        <v>330</v>
      </c>
      <c r="AF126" s="122" t="s">
        <v>331</v>
      </c>
      <c r="AG126" s="124" t="s">
        <v>332</v>
      </c>
      <c r="AH126" s="122">
        <v>680</v>
      </c>
      <c r="AI126" s="4"/>
      <c r="AJ126" s="4">
        <f t="shared" si="19"/>
        <v>3209.6</v>
      </c>
      <c r="AK126" s="210"/>
    </row>
    <row r="127" spans="31:37" x14ac:dyDescent="0.25">
      <c r="AE127" s="116" t="s">
        <v>333</v>
      </c>
      <c r="AF127" s="117" t="s">
        <v>334</v>
      </c>
      <c r="AG127" s="119" t="s">
        <v>335</v>
      </c>
      <c r="AH127" s="117">
        <v>62.5</v>
      </c>
      <c r="AI127" s="4"/>
      <c r="AJ127" s="4">
        <f t="shared" si="19"/>
        <v>295</v>
      </c>
      <c r="AK127" s="210"/>
    </row>
    <row r="128" spans="31:37" x14ac:dyDescent="0.25">
      <c r="AE128" s="116" t="s">
        <v>333</v>
      </c>
      <c r="AF128" s="117" t="s">
        <v>336</v>
      </c>
      <c r="AG128" s="26" t="s">
        <v>288</v>
      </c>
      <c r="AH128" s="117">
        <v>1569</v>
      </c>
      <c r="AI128" s="4"/>
      <c r="AJ128" s="4">
        <f t="shared" si="19"/>
        <v>7405.6799999999994</v>
      </c>
      <c r="AK128" s="210"/>
    </row>
    <row r="129" spans="31:37" x14ac:dyDescent="0.25">
      <c r="AE129" s="116" t="s">
        <v>337</v>
      </c>
      <c r="AF129" s="117" t="s">
        <v>338</v>
      </c>
      <c r="AG129" s="119" t="s">
        <v>339</v>
      </c>
      <c r="AH129" s="117">
        <v>313.2</v>
      </c>
      <c r="AI129" s="4"/>
      <c r="AJ129" s="4">
        <f t="shared" si="19"/>
        <v>1478.3039999999999</v>
      </c>
      <c r="AK129" s="210"/>
    </row>
    <row r="130" spans="31:37" x14ac:dyDescent="0.25">
      <c r="AE130" s="116" t="s">
        <v>340</v>
      </c>
      <c r="AF130" s="117" t="s">
        <v>341</v>
      </c>
      <c r="AG130" s="119" t="s">
        <v>294</v>
      </c>
      <c r="AH130" s="117">
        <v>360.2</v>
      </c>
      <c r="AI130" s="4"/>
      <c r="AJ130" s="4">
        <f t="shared" si="19"/>
        <v>1700.1439999999998</v>
      </c>
      <c r="AK130" s="210"/>
    </row>
    <row r="131" spans="31:37" x14ac:dyDescent="0.25">
      <c r="AE131" s="40"/>
      <c r="AF131" s="35"/>
      <c r="AG131" s="4"/>
      <c r="AH131" s="40"/>
      <c r="AI131" s="4"/>
      <c r="AJ131" s="4">
        <f t="shared" si="19"/>
        <v>0</v>
      </c>
      <c r="AK131" s="210"/>
    </row>
    <row r="132" spans="31:37" x14ac:dyDescent="0.25">
      <c r="AE132" s="40"/>
      <c r="AF132" s="35"/>
      <c r="AG132" s="4"/>
      <c r="AH132" s="164"/>
      <c r="AI132" s="4"/>
      <c r="AJ132" s="4">
        <f t="shared" si="19"/>
        <v>0</v>
      </c>
      <c r="AK132" s="210"/>
    </row>
    <row r="133" spans="31:37" x14ac:dyDescent="0.25">
      <c r="AE133" s="40"/>
      <c r="AF133" s="35"/>
      <c r="AG133" s="4"/>
      <c r="AH133" s="164"/>
      <c r="AI133" s="4"/>
      <c r="AJ133" s="4">
        <f t="shared" ref="AJ133:AJ140" si="20">AH133*4*1.18</f>
        <v>0</v>
      </c>
      <c r="AK133" s="210"/>
    </row>
    <row r="134" spans="31:37" x14ac:dyDescent="0.25">
      <c r="AE134" s="40"/>
      <c r="AF134" s="35"/>
      <c r="AG134" s="4"/>
      <c r="AH134" s="164"/>
      <c r="AI134" s="4"/>
      <c r="AJ134" s="4">
        <f t="shared" si="20"/>
        <v>0</v>
      </c>
      <c r="AK134" s="210"/>
    </row>
    <row r="135" spans="31:37" x14ac:dyDescent="0.25">
      <c r="AE135" s="40"/>
      <c r="AF135" s="35"/>
      <c r="AG135" s="4"/>
      <c r="AH135" s="164"/>
      <c r="AI135" s="4"/>
      <c r="AJ135" s="4">
        <f t="shared" si="20"/>
        <v>0</v>
      </c>
      <c r="AK135" s="210"/>
    </row>
    <row r="136" spans="31:37" x14ac:dyDescent="0.25">
      <c r="AE136" s="40"/>
      <c r="AF136" s="35"/>
      <c r="AG136" s="4"/>
      <c r="AH136" s="164"/>
      <c r="AI136" s="4"/>
      <c r="AJ136" s="4">
        <f t="shared" si="20"/>
        <v>0</v>
      </c>
      <c r="AK136" s="210"/>
    </row>
    <row r="137" spans="31:37" x14ac:dyDescent="0.25">
      <c r="AE137" s="40"/>
      <c r="AF137" s="35"/>
      <c r="AG137" s="4"/>
      <c r="AH137" s="164"/>
      <c r="AI137" s="4"/>
      <c r="AJ137" s="4">
        <f t="shared" si="20"/>
        <v>0</v>
      </c>
      <c r="AK137" s="210"/>
    </row>
    <row r="138" spans="31:37" x14ac:dyDescent="0.25">
      <c r="AE138" s="40"/>
      <c r="AF138" s="35"/>
      <c r="AG138" s="4"/>
      <c r="AH138" s="164"/>
      <c r="AI138" s="4"/>
      <c r="AJ138" s="4">
        <f t="shared" si="20"/>
        <v>0</v>
      </c>
      <c r="AK138" s="210"/>
    </row>
    <row r="139" spans="31:37" x14ac:dyDescent="0.25">
      <c r="AE139" s="40"/>
      <c r="AF139" s="35"/>
      <c r="AG139" s="4"/>
      <c r="AH139" s="164"/>
      <c r="AI139" s="4"/>
      <c r="AJ139" s="4">
        <f t="shared" si="20"/>
        <v>0</v>
      </c>
      <c r="AK139" s="210"/>
    </row>
    <row r="140" spans="31:37" x14ac:dyDescent="0.25">
      <c r="AE140" s="40"/>
      <c r="AF140" s="35"/>
      <c r="AG140" s="4"/>
      <c r="AH140" s="164"/>
      <c r="AI140" s="4"/>
      <c r="AJ140" s="4">
        <f t="shared" si="20"/>
        <v>0</v>
      </c>
      <c r="AK140" s="210"/>
    </row>
    <row r="141" spans="31:37" x14ac:dyDescent="0.25">
      <c r="AG141" s="2" t="s">
        <v>20</v>
      </c>
      <c r="AH141" s="173">
        <f>SUM(AH117:AH140)</f>
        <v>6491.1</v>
      </c>
      <c r="AI141" s="2">
        <f>SUM(AI117:AI140)</f>
        <v>0</v>
      </c>
      <c r="AJ141" s="2">
        <f>SUM(AJ117:AJ140)</f>
        <v>30637.991999999998</v>
      </c>
    </row>
    <row r="142" spans="31:37" x14ac:dyDescent="0.25">
      <c r="AH142" s="173"/>
    </row>
    <row r="143" spans="31:37" x14ac:dyDescent="0.25">
      <c r="AH143" s="173"/>
    </row>
    <row r="144" spans="31:37" x14ac:dyDescent="0.25">
      <c r="AH144" s="173"/>
    </row>
    <row r="145" spans="31:37" ht="28.5" x14ac:dyDescent="0.25">
      <c r="AE145" s="25"/>
      <c r="AF145" s="29"/>
      <c r="AG145" s="27" t="s">
        <v>24</v>
      </c>
      <c r="AH145" s="173"/>
      <c r="AJ145" s="25"/>
      <c r="AK145" s="208"/>
    </row>
    <row r="146" spans="31:37" x14ac:dyDescent="0.25">
      <c r="AH146" s="173"/>
    </row>
    <row r="147" spans="31:37" x14ac:dyDescent="0.25">
      <c r="AE147" s="4" t="s">
        <v>14</v>
      </c>
      <c r="AF147" s="30" t="s">
        <v>15</v>
      </c>
      <c r="AG147" s="4" t="s">
        <v>16</v>
      </c>
      <c r="AH147" s="164" t="s">
        <v>17</v>
      </c>
      <c r="AI147" s="4" t="s">
        <v>78</v>
      </c>
      <c r="AJ147" s="4" t="s">
        <v>18</v>
      </c>
      <c r="AK147" s="210" t="s">
        <v>19</v>
      </c>
    </row>
    <row r="148" spans="31:37" x14ac:dyDescent="0.25">
      <c r="AE148" s="125" t="s">
        <v>342</v>
      </c>
      <c r="AF148" s="76" t="s">
        <v>343</v>
      </c>
      <c r="AG148" s="80" t="s">
        <v>318</v>
      </c>
      <c r="AH148" s="80">
        <v>55</v>
      </c>
      <c r="AI148" s="145"/>
      <c r="AJ148" s="145">
        <f>AH148*4*1.18</f>
        <v>259.59999999999997</v>
      </c>
      <c r="AK148" s="114"/>
    </row>
    <row r="149" spans="31:37" x14ac:dyDescent="0.25">
      <c r="AE149" s="71" t="s">
        <v>342</v>
      </c>
      <c r="AF149" s="76" t="s">
        <v>344</v>
      </c>
      <c r="AG149" s="88" t="s">
        <v>231</v>
      </c>
      <c r="AH149" s="80">
        <v>250</v>
      </c>
      <c r="AI149" s="145"/>
      <c r="AJ149" s="145">
        <f t="shared" ref="AJ149:AJ152" si="21">AH149*4*1.18</f>
        <v>1180</v>
      </c>
      <c r="AK149" s="149"/>
    </row>
    <row r="150" spans="31:37" x14ac:dyDescent="0.25">
      <c r="AE150" s="261" t="s">
        <v>342</v>
      </c>
      <c r="AF150" s="150" t="s">
        <v>345</v>
      </c>
      <c r="AG150" s="147" t="s">
        <v>339</v>
      </c>
      <c r="AH150" s="150">
        <v>63.5</v>
      </c>
      <c r="AI150" s="145"/>
      <c r="AJ150" s="145">
        <f t="shared" si="21"/>
        <v>299.71999999999997</v>
      </c>
      <c r="AK150" s="149"/>
    </row>
    <row r="151" spans="31:37" x14ac:dyDescent="0.25">
      <c r="AE151" s="152" t="s">
        <v>346</v>
      </c>
      <c r="AF151" s="153" t="s">
        <v>347</v>
      </c>
      <c r="AG151" s="155" t="s">
        <v>203</v>
      </c>
      <c r="AH151" s="154">
        <v>44.2</v>
      </c>
      <c r="AI151" s="145"/>
      <c r="AJ151" s="145">
        <f t="shared" si="21"/>
        <v>208.624</v>
      </c>
      <c r="AK151" s="149"/>
    </row>
    <row r="152" spans="31:37" x14ac:dyDescent="0.25">
      <c r="AE152" s="125" t="s">
        <v>346</v>
      </c>
      <c r="AF152" s="76" t="s">
        <v>348</v>
      </c>
      <c r="AG152" s="80" t="s">
        <v>349</v>
      </c>
      <c r="AH152" s="80">
        <v>23.4</v>
      </c>
      <c r="AI152" s="184"/>
      <c r="AJ152" s="145">
        <f t="shared" si="21"/>
        <v>110.44799999999999</v>
      </c>
      <c r="AK152" s="149"/>
    </row>
    <row r="153" spans="31:37" x14ac:dyDescent="0.25">
      <c r="AE153" s="125" t="s">
        <v>346</v>
      </c>
      <c r="AF153" s="76" t="s">
        <v>350</v>
      </c>
      <c r="AG153" s="80" t="s">
        <v>178</v>
      </c>
      <c r="AH153" s="80">
        <v>338.7</v>
      </c>
      <c r="AI153" s="145"/>
      <c r="AJ153" s="145">
        <f t="shared" ref="AJ153:AJ171" si="22">AH153*5*1.18</f>
        <v>1998.33</v>
      </c>
      <c r="AK153" s="149"/>
    </row>
    <row r="154" spans="31:37" x14ac:dyDescent="0.25">
      <c r="AE154" s="125" t="s">
        <v>351</v>
      </c>
      <c r="AF154" s="76" t="s">
        <v>352</v>
      </c>
      <c r="AG154" s="80" t="s">
        <v>318</v>
      </c>
      <c r="AH154" s="80">
        <v>1695</v>
      </c>
      <c r="AI154" s="184"/>
      <c r="AJ154" s="145">
        <f t="shared" si="22"/>
        <v>10000.5</v>
      </c>
      <c r="AK154" s="149"/>
    </row>
    <row r="155" spans="31:37" x14ac:dyDescent="0.25">
      <c r="AE155" s="116" t="s">
        <v>351</v>
      </c>
      <c r="AF155" s="117" t="s">
        <v>353</v>
      </c>
      <c r="AG155" s="80" t="s">
        <v>354</v>
      </c>
      <c r="AH155" s="117">
        <v>76.599999999999994</v>
      </c>
      <c r="AI155" s="145"/>
      <c r="AJ155" s="145">
        <f t="shared" si="22"/>
        <v>451.94</v>
      </c>
      <c r="AK155" s="149"/>
    </row>
    <row r="156" spans="31:37" x14ac:dyDescent="0.25">
      <c r="AE156" s="116" t="s">
        <v>351</v>
      </c>
      <c r="AF156" s="117" t="s">
        <v>355</v>
      </c>
      <c r="AG156" s="119" t="s">
        <v>339</v>
      </c>
      <c r="AH156" s="117">
        <v>104.8</v>
      </c>
      <c r="AI156" s="145"/>
      <c r="AJ156" s="145">
        <f t="shared" si="22"/>
        <v>618.31999999999994</v>
      </c>
      <c r="AK156" s="149"/>
    </row>
    <row r="157" spans="31:37" x14ac:dyDescent="0.25">
      <c r="AE157" s="116" t="s">
        <v>356</v>
      </c>
      <c r="AF157" s="117" t="s">
        <v>357</v>
      </c>
      <c r="AG157" s="119" t="s">
        <v>358</v>
      </c>
      <c r="AH157" s="117">
        <v>339</v>
      </c>
      <c r="AI157" s="145"/>
      <c r="AJ157" s="145">
        <f t="shared" si="22"/>
        <v>2000.1</v>
      </c>
      <c r="AK157" s="149"/>
    </row>
    <row r="158" spans="31:37" x14ac:dyDescent="0.25">
      <c r="AE158" s="116" t="s">
        <v>356</v>
      </c>
      <c r="AF158" s="117" t="s">
        <v>359</v>
      </c>
      <c r="AG158" s="154" t="s">
        <v>248</v>
      </c>
      <c r="AH158" s="117">
        <v>965.7</v>
      </c>
      <c r="AI158" s="145"/>
      <c r="AJ158" s="145">
        <f t="shared" si="22"/>
        <v>5697.63</v>
      </c>
      <c r="AK158" s="149"/>
    </row>
    <row r="159" spans="31:37" x14ac:dyDescent="0.25">
      <c r="AE159" s="71" t="s">
        <v>360</v>
      </c>
      <c r="AF159" s="76" t="s">
        <v>361</v>
      </c>
      <c r="AG159" s="88" t="s">
        <v>313</v>
      </c>
      <c r="AH159" s="80">
        <v>104.3</v>
      </c>
      <c r="AI159" s="145"/>
      <c r="AJ159" s="145">
        <f t="shared" si="22"/>
        <v>615.37</v>
      </c>
      <c r="AK159" s="161"/>
    </row>
    <row r="160" spans="31:37" x14ac:dyDescent="0.25">
      <c r="AE160" s="116" t="s">
        <v>365</v>
      </c>
      <c r="AF160" s="117" t="s">
        <v>366</v>
      </c>
      <c r="AG160" s="119" t="s">
        <v>367</v>
      </c>
      <c r="AH160" s="117">
        <v>672</v>
      </c>
      <c r="AI160" s="145"/>
      <c r="AJ160" s="145">
        <f t="shared" si="22"/>
        <v>3964.7999999999997</v>
      </c>
      <c r="AK160" s="161"/>
    </row>
    <row r="161" spans="31:37" x14ac:dyDescent="0.25">
      <c r="AE161" s="116" t="s">
        <v>368</v>
      </c>
      <c r="AF161" s="117" t="s">
        <v>369</v>
      </c>
      <c r="AG161" s="119" t="s">
        <v>370</v>
      </c>
      <c r="AH161" s="117">
        <v>242.6</v>
      </c>
      <c r="AI161" s="145"/>
      <c r="AJ161" s="145">
        <f t="shared" si="22"/>
        <v>1431.34</v>
      </c>
      <c r="AK161" s="161"/>
    </row>
    <row r="162" spans="31:37" x14ac:dyDescent="0.25">
      <c r="AE162" s="116" t="s">
        <v>371</v>
      </c>
      <c r="AF162" s="117" t="s">
        <v>372</v>
      </c>
      <c r="AG162" s="154" t="s">
        <v>248</v>
      </c>
      <c r="AH162" s="117">
        <v>126.4</v>
      </c>
      <c r="AI162" s="145"/>
      <c r="AJ162" s="145">
        <f t="shared" si="22"/>
        <v>745.76</v>
      </c>
      <c r="AK162" s="161"/>
    </row>
    <row r="163" spans="31:37" x14ac:dyDescent="0.25">
      <c r="AE163" s="116" t="s">
        <v>373</v>
      </c>
      <c r="AF163" s="117" t="s">
        <v>374</v>
      </c>
      <c r="AG163" s="119" t="s">
        <v>375</v>
      </c>
      <c r="AH163" s="117">
        <v>285.60000000000002</v>
      </c>
      <c r="AI163" s="145"/>
      <c r="AJ163" s="145">
        <f t="shared" si="22"/>
        <v>1685.04</v>
      </c>
      <c r="AK163" s="161"/>
    </row>
    <row r="164" spans="31:37" x14ac:dyDescent="0.25">
      <c r="AE164" s="10"/>
      <c r="AF164" s="40"/>
      <c r="AG164" s="145"/>
      <c r="AH164" s="40"/>
      <c r="AI164" s="145"/>
      <c r="AJ164" s="145">
        <f t="shared" si="22"/>
        <v>0</v>
      </c>
      <c r="AK164" s="161"/>
    </row>
    <row r="165" spans="31:37" x14ac:dyDescent="0.25">
      <c r="AE165" s="142"/>
      <c r="AF165" s="146"/>
      <c r="AG165" s="145"/>
      <c r="AH165" s="77"/>
      <c r="AI165" s="145"/>
      <c r="AJ165" s="145">
        <f t="shared" si="22"/>
        <v>0</v>
      </c>
      <c r="AK165" s="161"/>
    </row>
    <row r="166" spans="31:37" x14ac:dyDescent="0.25">
      <c r="AE166" s="142"/>
      <c r="AF166" s="146"/>
      <c r="AG166" s="145"/>
      <c r="AH166" s="158"/>
      <c r="AI166" s="145"/>
      <c r="AJ166" s="145">
        <f t="shared" si="22"/>
        <v>0</v>
      </c>
      <c r="AK166" s="161"/>
    </row>
    <row r="167" spans="31:37" x14ac:dyDescent="0.25">
      <c r="AE167" s="142"/>
      <c r="AF167" s="146"/>
      <c r="AG167" s="145"/>
      <c r="AH167" s="158"/>
      <c r="AI167" s="145"/>
      <c r="AJ167" s="145">
        <f t="shared" si="22"/>
        <v>0</v>
      </c>
      <c r="AK167" s="161"/>
    </row>
    <row r="168" spans="31:37" x14ac:dyDescent="0.25">
      <c r="AE168" s="142"/>
      <c r="AF168" s="146"/>
      <c r="AG168" s="145"/>
      <c r="AH168" s="158"/>
      <c r="AI168" s="145"/>
      <c r="AJ168" s="145">
        <f t="shared" si="22"/>
        <v>0</v>
      </c>
      <c r="AK168" s="161"/>
    </row>
    <row r="169" spans="31:37" x14ac:dyDescent="0.25">
      <c r="AE169" s="142"/>
      <c r="AF169" s="146"/>
      <c r="AG169" s="145"/>
      <c r="AH169" s="158"/>
      <c r="AI169" s="145"/>
      <c r="AJ169" s="145">
        <f t="shared" si="22"/>
        <v>0</v>
      </c>
      <c r="AK169" s="161"/>
    </row>
    <row r="170" spans="31:37" x14ac:dyDescent="0.25">
      <c r="AE170" s="142"/>
      <c r="AF170" s="146"/>
      <c r="AG170" s="145"/>
      <c r="AH170" s="158"/>
      <c r="AI170" s="145"/>
      <c r="AJ170" s="145">
        <f t="shared" si="22"/>
        <v>0</v>
      </c>
      <c r="AK170" s="161"/>
    </row>
    <row r="171" spans="31:37" x14ac:dyDescent="0.25">
      <c r="AE171" s="142"/>
      <c r="AF171" s="146"/>
      <c r="AG171" s="145"/>
      <c r="AH171" s="158"/>
      <c r="AI171" s="145"/>
      <c r="AJ171" s="145">
        <f t="shared" si="22"/>
        <v>0</v>
      </c>
      <c r="AK171" s="161"/>
    </row>
    <row r="172" spans="31:37" x14ac:dyDescent="0.25">
      <c r="AG172" s="2" t="s">
        <v>20</v>
      </c>
      <c r="AH172" s="173">
        <f>SUM(AH148:AH171)</f>
        <v>5386.8000000000011</v>
      </c>
      <c r="AI172" s="2">
        <f>SUM(AI148:AI171)</f>
        <v>0</v>
      </c>
      <c r="AJ172" s="2">
        <f>SUM(AJ148:AJ171)</f>
        <v>31267.521999999997</v>
      </c>
    </row>
    <row r="173" spans="31:37" x14ac:dyDescent="0.25">
      <c r="AH173" s="173"/>
    </row>
    <row r="174" spans="31:37" x14ac:dyDescent="0.25">
      <c r="AH174" s="173"/>
    </row>
    <row r="175" spans="31:37" x14ac:dyDescent="0.25">
      <c r="AH175" s="173"/>
    </row>
    <row r="176" spans="31:37" ht="28.5" x14ac:dyDescent="0.25">
      <c r="AE176" s="25"/>
      <c r="AF176" s="29"/>
      <c r="AG176" s="27" t="s">
        <v>25</v>
      </c>
      <c r="AH176" s="173"/>
      <c r="AJ176" s="25"/>
      <c r="AK176" s="208"/>
    </row>
    <row r="177" spans="31:37" x14ac:dyDescent="0.25">
      <c r="AH177" s="173"/>
    </row>
    <row r="178" spans="31:37" x14ac:dyDescent="0.25">
      <c r="AE178" s="4" t="s">
        <v>14</v>
      </c>
      <c r="AF178" s="30" t="s">
        <v>15</v>
      </c>
      <c r="AG178" s="4" t="s">
        <v>16</v>
      </c>
      <c r="AH178" s="164" t="s">
        <v>17</v>
      </c>
      <c r="AI178" s="4" t="s">
        <v>78</v>
      </c>
      <c r="AJ178" s="4" t="s">
        <v>18</v>
      </c>
      <c r="AK178" s="210" t="s">
        <v>19</v>
      </c>
    </row>
    <row r="179" spans="31:37" x14ac:dyDescent="0.25">
      <c r="AE179" s="252" t="s">
        <v>376</v>
      </c>
      <c r="AF179" s="253" t="s">
        <v>377</v>
      </c>
      <c r="AG179" s="254" t="s">
        <v>378</v>
      </c>
      <c r="AH179" s="254">
        <v>580.6</v>
      </c>
      <c r="AI179" s="164"/>
      <c r="AJ179" s="4">
        <f t="shared" ref="AJ179:AJ200" si="23">AH179*5*1.18</f>
        <v>3425.54</v>
      </c>
      <c r="AK179" s="255"/>
    </row>
    <row r="180" spans="31:37" x14ac:dyDescent="0.25">
      <c r="AE180" s="116" t="s">
        <v>379</v>
      </c>
      <c r="AF180" s="117" t="s">
        <v>380</v>
      </c>
      <c r="AG180" s="119" t="s">
        <v>375</v>
      </c>
      <c r="AH180" s="117">
        <v>219.2</v>
      </c>
      <c r="AI180" s="4"/>
      <c r="AJ180" s="4">
        <f t="shared" si="23"/>
        <v>1293.28</v>
      </c>
      <c r="AK180" s="118"/>
    </row>
    <row r="181" spans="31:37" x14ac:dyDescent="0.25">
      <c r="AE181" s="116" t="s">
        <v>381</v>
      </c>
      <c r="AF181" s="117" t="s">
        <v>382</v>
      </c>
      <c r="AG181" s="119" t="s">
        <v>370</v>
      </c>
      <c r="AH181" s="117">
        <v>45.6</v>
      </c>
      <c r="AI181" s="183"/>
      <c r="AJ181" s="4">
        <f t="shared" si="23"/>
        <v>269.03999999999996</v>
      </c>
      <c r="AK181" s="118"/>
    </row>
    <row r="182" spans="31:37" x14ac:dyDescent="0.25">
      <c r="AE182" s="125" t="s">
        <v>383</v>
      </c>
      <c r="AF182" s="76" t="s">
        <v>384</v>
      </c>
      <c r="AG182" s="80" t="s">
        <v>385</v>
      </c>
      <c r="AH182" s="80">
        <v>78</v>
      </c>
      <c r="AI182" s="4"/>
      <c r="AJ182" s="4">
        <f t="shared" si="23"/>
        <v>460.2</v>
      </c>
      <c r="AK182" s="83"/>
    </row>
    <row r="183" spans="31:37" x14ac:dyDescent="0.25">
      <c r="AE183" s="177" t="s">
        <v>386</v>
      </c>
      <c r="AF183" s="143" t="s">
        <v>387</v>
      </c>
      <c r="AG183" s="144" t="s">
        <v>378</v>
      </c>
      <c r="AH183" s="144">
        <v>432.4</v>
      </c>
      <c r="AI183" s="4"/>
      <c r="AJ183" s="4">
        <f t="shared" si="23"/>
        <v>2551.16</v>
      </c>
      <c r="AK183" s="175"/>
    </row>
    <row r="184" spans="31:37" x14ac:dyDescent="0.25">
      <c r="AE184" s="116" t="s">
        <v>399</v>
      </c>
      <c r="AF184" s="117" t="s">
        <v>400</v>
      </c>
      <c r="AG184" s="119" t="s">
        <v>401</v>
      </c>
      <c r="AH184" s="117">
        <v>1818</v>
      </c>
      <c r="AI184" s="4"/>
      <c r="AJ184" s="4">
        <f t="shared" si="23"/>
        <v>10726.199999999999</v>
      </c>
      <c r="AK184" s="118"/>
    </row>
    <row r="185" spans="31:37" x14ac:dyDescent="0.25">
      <c r="AE185" s="116" t="s">
        <v>402</v>
      </c>
      <c r="AF185" s="117" t="s">
        <v>403</v>
      </c>
      <c r="AG185" s="119" t="s">
        <v>404</v>
      </c>
      <c r="AH185" s="117">
        <v>145.19999999999999</v>
      </c>
      <c r="AI185" s="4"/>
      <c r="AJ185" s="4">
        <f t="shared" si="23"/>
        <v>856.68</v>
      </c>
      <c r="AK185" s="118"/>
    </row>
    <row r="186" spans="31:37" x14ac:dyDescent="0.25">
      <c r="AE186" s="116" t="s">
        <v>454</v>
      </c>
      <c r="AF186" s="117" t="s">
        <v>405</v>
      </c>
      <c r="AG186" s="119" t="s">
        <v>406</v>
      </c>
      <c r="AH186" s="117">
        <v>339</v>
      </c>
      <c r="AI186" s="4"/>
      <c r="AJ186" s="4">
        <f t="shared" si="23"/>
        <v>2000.1</v>
      </c>
      <c r="AK186" s="118"/>
    </row>
    <row r="187" spans="31:37" x14ac:dyDescent="0.25">
      <c r="AE187" s="257" t="s">
        <v>407</v>
      </c>
      <c r="AF187" s="107" t="s">
        <v>408</v>
      </c>
      <c r="AG187" s="259" t="s">
        <v>318</v>
      </c>
      <c r="AH187" s="107">
        <v>356</v>
      </c>
      <c r="AI187" s="4"/>
      <c r="AJ187" s="4">
        <f t="shared" si="23"/>
        <v>2100.4</v>
      </c>
      <c r="AK187" s="258"/>
    </row>
    <row r="188" spans="31:37" x14ac:dyDescent="0.25">
      <c r="AE188" s="116" t="s">
        <v>410</v>
      </c>
      <c r="AF188" s="117" t="s">
        <v>409</v>
      </c>
      <c r="AG188" s="119" t="s">
        <v>411</v>
      </c>
      <c r="AH188" s="117">
        <v>288.2</v>
      </c>
      <c r="AI188" s="4"/>
      <c r="AJ188" s="4">
        <f t="shared" si="23"/>
        <v>1700.3799999999999</v>
      </c>
      <c r="AK188" s="118"/>
    </row>
    <row r="189" spans="31:37" x14ac:dyDescent="0.25">
      <c r="AE189" s="116" t="s">
        <v>412</v>
      </c>
      <c r="AF189" s="117" t="s">
        <v>413</v>
      </c>
      <c r="AG189" s="119" t="s">
        <v>414</v>
      </c>
      <c r="AH189" s="117">
        <v>1550</v>
      </c>
      <c r="AI189" s="4"/>
      <c r="AJ189" s="4">
        <f t="shared" si="23"/>
        <v>9145</v>
      </c>
      <c r="AK189" s="118"/>
    </row>
    <row r="190" spans="31:37" x14ac:dyDescent="0.25">
      <c r="AE190" s="179" t="s">
        <v>415</v>
      </c>
      <c r="AF190" s="178" t="s">
        <v>416</v>
      </c>
      <c r="AG190" s="156" t="s">
        <v>375</v>
      </c>
      <c r="AH190" s="178">
        <v>207.45</v>
      </c>
      <c r="AI190" s="4"/>
      <c r="AJ190" s="4">
        <f t="shared" si="23"/>
        <v>1223.9549999999999</v>
      </c>
      <c r="AK190" s="263"/>
    </row>
    <row r="191" spans="31:37" x14ac:dyDescent="0.25">
      <c r="AE191" s="116" t="s">
        <v>415</v>
      </c>
      <c r="AF191" s="117" t="s">
        <v>417</v>
      </c>
      <c r="AG191" s="119" t="s">
        <v>418</v>
      </c>
      <c r="AH191" s="117">
        <v>110</v>
      </c>
      <c r="AI191" s="183"/>
      <c r="AJ191" s="4">
        <f t="shared" si="23"/>
        <v>649</v>
      </c>
      <c r="AK191" s="118"/>
    </row>
    <row r="192" spans="31:37" x14ac:dyDescent="0.25">
      <c r="AE192" s="72" t="s">
        <v>419</v>
      </c>
      <c r="AF192" s="28" t="s">
        <v>420</v>
      </c>
      <c r="AG192" s="26" t="s">
        <v>421</v>
      </c>
      <c r="AH192" s="26">
        <v>14.3</v>
      </c>
      <c r="AI192" s="183"/>
      <c r="AJ192" s="4">
        <f t="shared" si="23"/>
        <v>84.36999999999999</v>
      </c>
      <c r="AK192" s="84"/>
    </row>
    <row r="193" spans="31:37" x14ac:dyDescent="0.25">
      <c r="AE193" s="116" t="s">
        <v>419</v>
      </c>
      <c r="AF193" s="117" t="s">
        <v>422</v>
      </c>
      <c r="AG193" s="119" t="s">
        <v>401</v>
      </c>
      <c r="AH193" s="117">
        <v>350.9</v>
      </c>
      <c r="AI193" s="183"/>
      <c r="AJ193" s="4">
        <f t="shared" si="23"/>
        <v>2070.31</v>
      </c>
      <c r="AK193" s="118"/>
    </row>
    <row r="194" spans="31:37" x14ac:dyDescent="0.25">
      <c r="AE194" s="72" t="s">
        <v>423</v>
      </c>
      <c r="AF194" s="77" t="s">
        <v>424</v>
      </c>
      <c r="AG194" s="26" t="s">
        <v>358</v>
      </c>
      <c r="AH194" s="77">
        <v>378.5</v>
      </c>
      <c r="AI194" s="4"/>
      <c r="AJ194" s="4">
        <f t="shared" si="23"/>
        <v>2233.15</v>
      </c>
      <c r="AK194" s="85"/>
    </row>
    <row r="195" spans="31:37" x14ac:dyDescent="0.25">
      <c r="AE195" s="116" t="s">
        <v>426</v>
      </c>
      <c r="AF195" s="117" t="s">
        <v>427</v>
      </c>
      <c r="AG195" s="119" t="s">
        <v>428</v>
      </c>
      <c r="AH195" s="117">
        <v>228.9</v>
      </c>
      <c r="AI195" s="4"/>
      <c r="AJ195" s="4">
        <f t="shared" si="23"/>
        <v>1350.51</v>
      </c>
      <c r="AK195" s="118"/>
    </row>
    <row r="196" spans="31:37" x14ac:dyDescent="0.25">
      <c r="AE196" s="125"/>
      <c r="AF196" s="76"/>
      <c r="AG196" s="4"/>
      <c r="AH196" s="80"/>
      <c r="AI196" s="4"/>
      <c r="AJ196" s="4">
        <f t="shared" si="23"/>
        <v>0</v>
      </c>
      <c r="AK196" s="83"/>
    </row>
    <row r="197" spans="31:37" x14ac:dyDescent="0.25">
      <c r="AE197" s="40"/>
      <c r="AF197" s="35"/>
      <c r="AG197" s="4"/>
      <c r="AH197" s="80"/>
      <c r="AI197" s="4"/>
      <c r="AJ197" s="4">
        <f t="shared" si="23"/>
        <v>0</v>
      </c>
      <c r="AK197" s="210"/>
    </row>
    <row r="198" spans="31:37" x14ac:dyDescent="0.25">
      <c r="AE198" s="40"/>
      <c r="AF198" s="35"/>
      <c r="AG198" s="4"/>
      <c r="AH198" s="4"/>
      <c r="AI198" s="4"/>
      <c r="AJ198" s="4">
        <f t="shared" si="23"/>
        <v>0</v>
      </c>
      <c r="AK198" s="210"/>
    </row>
    <row r="199" spans="31:37" x14ac:dyDescent="0.25">
      <c r="AE199" s="40"/>
      <c r="AF199" s="35"/>
      <c r="AG199" s="4"/>
      <c r="AH199" s="4"/>
      <c r="AI199" s="4"/>
      <c r="AJ199" s="4">
        <f t="shared" si="23"/>
        <v>0</v>
      </c>
      <c r="AK199" s="210"/>
    </row>
    <row r="200" spans="31:37" x14ac:dyDescent="0.25">
      <c r="AE200" s="40"/>
      <c r="AF200" s="35"/>
      <c r="AG200" s="4"/>
      <c r="AH200" s="4"/>
      <c r="AI200" s="4"/>
      <c r="AJ200" s="4">
        <f t="shared" si="23"/>
        <v>0</v>
      </c>
      <c r="AK200" s="210"/>
    </row>
    <row r="201" spans="31:37" x14ac:dyDescent="0.25">
      <c r="AE201" s="40"/>
      <c r="AF201" s="35"/>
      <c r="AG201" s="4"/>
      <c r="AH201" s="4"/>
      <c r="AI201" s="4"/>
      <c r="AJ201" s="4">
        <f>AH201*5*1.18</f>
        <v>0</v>
      </c>
      <c r="AK201" s="210"/>
    </row>
    <row r="202" spans="31:37" x14ac:dyDescent="0.25">
      <c r="AE202" s="40"/>
      <c r="AF202" s="35"/>
      <c r="AG202" s="4"/>
      <c r="AH202" s="4"/>
      <c r="AI202" s="4"/>
      <c r="AJ202" s="4">
        <f t="shared" ref="AJ202" si="24">AH202*4*1.18</f>
        <v>0</v>
      </c>
      <c r="AK202" s="210"/>
    </row>
    <row r="203" spans="31:37" x14ac:dyDescent="0.25">
      <c r="AG203" s="2" t="s">
        <v>20</v>
      </c>
      <c r="AH203" s="2">
        <f>SUM(AH179:AH202)</f>
        <v>7142.2499999999991</v>
      </c>
      <c r="AI203" s="2">
        <f>SUM(AI179:AI202)</f>
        <v>0</v>
      </c>
      <c r="AJ203" s="2">
        <f>SUM(AJ179:AJ202)</f>
        <v>42139.275000000001</v>
      </c>
    </row>
    <row r="207" spans="31:37" ht="28.5" x14ac:dyDescent="0.25">
      <c r="AE207" s="25"/>
      <c r="AF207" s="29"/>
      <c r="AG207" s="27" t="s">
        <v>26</v>
      </c>
      <c r="AJ207" s="25"/>
      <c r="AK207" s="208"/>
    </row>
    <row r="209" spans="31:37" x14ac:dyDescent="0.25">
      <c r="AE209" s="4" t="s">
        <v>14</v>
      </c>
      <c r="AF209" s="30" t="s">
        <v>15</v>
      </c>
      <c r="AG209" s="4" t="s">
        <v>16</v>
      </c>
      <c r="AH209" s="4" t="s">
        <v>17</v>
      </c>
      <c r="AI209" s="4" t="s">
        <v>78</v>
      </c>
      <c r="AJ209" s="4" t="s">
        <v>18</v>
      </c>
      <c r="AK209" s="210" t="s">
        <v>19</v>
      </c>
    </row>
    <row r="210" spans="31:37" x14ac:dyDescent="0.25">
      <c r="AE210" s="120" t="s">
        <v>432</v>
      </c>
      <c r="AF210" s="117" t="s">
        <v>433</v>
      </c>
      <c r="AG210" s="119" t="s">
        <v>434</v>
      </c>
      <c r="AH210" s="117">
        <v>50</v>
      </c>
      <c r="AI210" s="4"/>
      <c r="AJ210" s="4">
        <f t="shared" ref="AJ210:AJ236" si="25">AH210*5*1.18</f>
        <v>295</v>
      </c>
      <c r="AK210" s="135"/>
    </row>
    <row r="211" spans="31:37" x14ac:dyDescent="0.25">
      <c r="AE211" s="120" t="s">
        <v>436</v>
      </c>
      <c r="AF211" s="117" t="s">
        <v>452</v>
      </c>
      <c r="AG211" s="119" t="s">
        <v>453</v>
      </c>
      <c r="AH211" s="117">
        <v>108</v>
      </c>
      <c r="AI211" s="4"/>
      <c r="AJ211" s="4">
        <f t="shared" si="25"/>
        <v>637.19999999999993</v>
      </c>
      <c r="AK211" s="136"/>
    </row>
    <row r="212" spans="31:37" x14ac:dyDescent="0.25">
      <c r="AE212" s="120" t="s">
        <v>436</v>
      </c>
      <c r="AF212" s="117" t="s">
        <v>435</v>
      </c>
      <c r="AG212" s="119" t="s">
        <v>434</v>
      </c>
      <c r="AH212" s="117">
        <v>45.3</v>
      </c>
      <c r="AI212" s="4"/>
      <c r="AJ212" s="4">
        <f t="shared" si="25"/>
        <v>267.27</v>
      </c>
      <c r="AK212" s="136"/>
    </row>
    <row r="213" spans="31:37" x14ac:dyDescent="0.25">
      <c r="AE213" s="120" t="s">
        <v>437</v>
      </c>
      <c r="AF213" s="117" t="s">
        <v>438</v>
      </c>
      <c r="AG213" s="119" t="s">
        <v>434</v>
      </c>
      <c r="AH213" s="117">
        <v>47.5</v>
      </c>
      <c r="AI213" s="4"/>
      <c r="AJ213" s="4">
        <f t="shared" si="25"/>
        <v>280.25</v>
      </c>
      <c r="AK213" s="136"/>
    </row>
    <row r="214" spans="31:37" x14ac:dyDescent="0.25">
      <c r="AE214" s="257" t="s">
        <v>437</v>
      </c>
      <c r="AF214" s="107" t="s">
        <v>439</v>
      </c>
      <c r="AG214" s="259" t="s">
        <v>375</v>
      </c>
      <c r="AH214" s="107">
        <v>52.37</v>
      </c>
      <c r="AI214" s="4"/>
      <c r="AJ214" s="4">
        <f t="shared" si="25"/>
        <v>308.98299999999995</v>
      </c>
      <c r="AK214" s="136"/>
    </row>
    <row r="215" spans="31:37" x14ac:dyDescent="0.25">
      <c r="AE215" s="257" t="s">
        <v>429</v>
      </c>
      <c r="AF215" s="107" t="s">
        <v>440</v>
      </c>
      <c r="AG215" s="259" t="s">
        <v>375</v>
      </c>
      <c r="AH215" s="107">
        <v>431.8</v>
      </c>
      <c r="AI215" s="4"/>
      <c r="AJ215" s="4">
        <f t="shared" si="25"/>
        <v>2547.62</v>
      </c>
      <c r="AK215" s="136"/>
    </row>
    <row r="216" spans="31:37" x14ac:dyDescent="0.25">
      <c r="AE216" s="72" t="s">
        <v>441</v>
      </c>
      <c r="AF216" s="28" t="s">
        <v>442</v>
      </c>
      <c r="AG216" s="26" t="s">
        <v>443</v>
      </c>
      <c r="AH216" s="26">
        <v>135.6</v>
      </c>
      <c r="AI216" s="4"/>
      <c r="AJ216" s="4">
        <f t="shared" si="25"/>
        <v>800.04</v>
      </c>
      <c r="AK216" s="136"/>
    </row>
    <row r="217" spans="31:37" x14ac:dyDescent="0.25">
      <c r="AE217" s="72" t="s">
        <v>441</v>
      </c>
      <c r="AF217" s="77" t="s">
        <v>444</v>
      </c>
      <c r="AG217" s="26" t="s">
        <v>445</v>
      </c>
      <c r="AH217" s="77">
        <v>59.6</v>
      </c>
      <c r="AI217" s="4"/>
      <c r="AJ217" s="4">
        <f t="shared" si="25"/>
        <v>351.64</v>
      </c>
      <c r="AK217" s="136"/>
    </row>
    <row r="218" spans="31:37" x14ac:dyDescent="0.25">
      <c r="AE218" s="116" t="s">
        <v>446</v>
      </c>
      <c r="AF218" s="117" t="s">
        <v>447</v>
      </c>
      <c r="AG218" s="119" t="s">
        <v>448</v>
      </c>
      <c r="AH218" s="117">
        <v>445.3</v>
      </c>
      <c r="AI218" s="4"/>
      <c r="AJ218" s="4">
        <f t="shared" si="25"/>
        <v>2627.27</v>
      </c>
      <c r="AK218" s="136"/>
    </row>
    <row r="219" spans="31:37" x14ac:dyDescent="0.25">
      <c r="AE219" s="116" t="s">
        <v>449</v>
      </c>
      <c r="AF219" s="117" t="s">
        <v>450</v>
      </c>
      <c r="AG219" s="119" t="s">
        <v>451</v>
      </c>
      <c r="AH219" s="117">
        <v>300</v>
      </c>
      <c r="AI219" s="4"/>
      <c r="AJ219" s="4">
        <f t="shared" si="25"/>
        <v>1770</v>
      </c>
      <c r="AK219" s="136"/>
    </row>
    <row r="220" spans="31:37" x14ac:dyDescent="0.25">
      <c r="AE220" s="116" t="s">
        <v>455</v>
      </c>
      <c r="AF220" s="117" t="s">
        <v>456</v>
      </c>
      <c r="AG220" s="119" t="s">
        <v>457</v>
      </c>
      <c r="AH220" s="117">
        <v>30.6</v>
      </c>
      <c r="AI220" s="4"/>
      <c r="AJ220" s="4">
        <f t="shared" si="25"/>
        <v>180.54</v>
      </c>
      <c r="AK220" s="114"/>
    </row>
    <row r="221" spans="31:37" x14ac:dyDescent="0.25">
      <c r="AE221" s="117" t="s">
        <v>455</v>
      </c>
      <c r="AF221" s="191" t="s">
        <v>458</v>
      </c>
      <c r="AG221" s="119" t="s">
        <v>459</v>
      </c>
      <c r="AH221" s="117">
        <v>491.4</v>
      </c>
      <c r="AI221" s="4"/>
      <c r="AJ221" s="4">
        <f t="shared" si="25"/>
        <v>2899.2599999999998</v>
      </c>
      <c r="AK221" s="136"/>
    </row>
    <row r="222" spans="31:37" x14ac:dyDescent="0.25">
      <c r="AE222" s="117" t="s">
        <v>455</v>
      </c>
      <c r="AF222" s="191" t="s">
        <v>460</v>
      </c>
      <c r="AG222" s="119" t="s">
        <v>461</v>
      </c>
      <c r="AH222" s="119">
        <v>191.6</v>
      </c>
      <c r="AI222" s="4"/>
      <c r="AJ222" s="4">
        <f t="shared" si="25"/>
        <v>1130.4399999999998</v>
      </c>
      <c r="AK222" s="136"/>
    </row>
    <row r="223" spans="31:37" x14ac:dyDescent="0.25">
      <c r="AE223" s="117" t="s">
        <v>462</v>
      </c>
      <c r="AF223" s="191" t="s">
        <v>464</v>
      </c>
      <c r="AG223" s="119" t="s">
        <v>463</v>
      </c>
      <c r="AH223" s="119">
        <v>123</v>
      </c>
      <c r="AI223" s="4"/>
      <c r="AJ223" s="4">
        <f t="shared" si="25"/>
        <v>725.69999999999993</v>
      </c>
      <c r="AK223" s="210"/>
    </row>
    <row r="224" spans="31:37" x14ac:dyDescent="0.25">
      <c r="AE224" s="117" t="s">
        <v>465</v>
      </c>
      <c r="AF224" s="191" t="s">
        <v>466</v>
      </c>
      <c r="AG224" s="119" t="s">
        <v>467</v>
      </c>
      <c r="AH224" s="119">
        <v>687.6</v>
      </c>
      <c r="AI224" s="4"/>
      <c r="AJ224" s="4">
        <f t="shared" si="25"/>
        <v>4056.8399999999997</v>
      </c>
      <c r="AK224" s="210"/>
    </row>
    <row r="225" spans="31:37" x14ac:dyDescent="0.25">
      <c r="AE225" s="116" t="s">
        <v>468</v>
      </c>
      <c r="AF225" s="117" t="s">
        <v>469</v>
      </c>
      <c r="AG225" s="119" t="s">
        <v>451</v>
      </c>
      <c r="AH225" s="117">
        <v>511.6</v>
      </c>
      <c r="AI225" s="4"/>
      <c r="AJ225" s="4">
        <f t="shared" si="25"/>
        <v>3018.44</v>
      </c>
      <c r="AK225" s="210"/>
    </row>
    <row r="226" spans="31:37" x14ac:dyDescent="0.25">
      <c r="AE226" s="116" t="s">
        <v>470</v>
      </c>
      <c r="AF226" s="117" t="s">
        <v>471</v>
      </c>
      <c r="AG226" s="119" t="s">
        <v>457</v>
      </c>
      <c r="AH226" s="117">
        <v>306.2</v>
      </c>
      <c r="AI226" s="4"/>
      <c r="AJ226" s="4">
        <f t="shared" si="25"/>
        <v>1806.58</v>
      </c>
      <c r="AK226" s="210"/>
    </row>
    <row r="227" spans="31:37" x14ac:dyDescent="0.25">
      <c r="AE227" s="116" t="s">
        <v>472</v>
      </c>
      <c r="AF227" s="117" t="s">
        <v>473</v>
      </c>
      <c r="AG227" s="119" t="s">
        <v>474</v>
      </c>
      <c r="AH227" s="117">
        <v>58.4</v>
      </c>
      <c r="AI227" s="4"/>
      <c r="AJ227" s="4">
        <f t="shared" si="25"/>
        <v>344.56</v>
      </c>
      <c r="AK227" s="210"/>
    </row>
    <row r="228" spans="31:37" x14ac:dyDescent="0.25">
      <c r="AE228" s="72" t="s">
        <v>472</v>
      </c>
      <c r="AF228" s="77" t="s">
        <v>475</v>
      </c>
      <c r="AG228" s="119" t="s">
        <v>474</v>
      </c>
      <c r="AH228" s="77">
        <v>50</v>
      </c>
      <c r="AI228" s="4"/>
      <c r="AJ228" s="4">
        <f t="shared" si="25"/>
        <v>295</v>
      </c>
      <c r="AK228" s="210"/>
    </row>
    <row r="229" spans="31:37" x14ac:dyDescent="0.25">
      <c r="AE229" s="72" t="s">
        <v>476</v>
      </c>
      <c r="AF229" s="77" t="s">
        <v>477</v>
      </c>
      <c r="AG229" s="119" t="s">
        <v>478</v>
      </c>
      <c r="AH229" s="77">
        <v>512.5</v>
      </c>
      <c r="AI229" s="4"/>
      <c r="AJ229" s="4">
        <f t="shared" si="25"/>
        <v>3023.75</v>
      </c>
      <c r="AK229" s="210"/>
    </row>
    <row r="230" spans="31:37" x14ac:dyDescent="0.25">
      <c r="AE230" s="72" t="s">
        <v>480</v>
      </c>
      <c r="AF230" s="77" t="s">
        <v>481</v>
      </c>
      <c r="AG230" s="119" t="s">
        <v>482</v>
      </c>
      <c r="AH230" s="77">
        <v>170</v>
      </c>
      <c r="AI230" s="4"/>
      <c r="AJ230" s="4">
        <f t="shared" si="25"/>
        <v>1003</v>
      </c>
      <c r="AK230" s="210"/>
    </row>
    <row r="231" spans="31:37" x14ac:dyDescent="0.25">
      <c r="AE231" s="72" t="s">
        <v>480</v>
      </c>
      <c r="AF231" s="77" t="s">
        <v>483</v>
      </c>
      <c r="AG231" s="119" t="s">
        <v>461</v>
      </c>
      <c r="AH231" s="77">
        <v>77.2</v>
      </c>
      <c r="AI231" s="4"/>
      <c r="AJ231" s="4">
        <f t="shared" si="25"/>
        <v>455.47999999999996</v>
      </c>
      <c r="AK231" s="210"/>
    </row>
    <row r="232" spans="31:37" x14ac:dyDescent="0.25">
      <c r="AE232" s="72" t="s">
        <v>486</v>
      </c>
      <c r="AF232" s="77" t="s">
        <v>484</v>
      </c>
      <c r="AG232" s="119" t="s">
        <v>485</v>
      </c>
      <c r="AH232" s="77">
        <v>11.9</v>
      </c>
      <c r="AI232" s="4"/>
      <c r="AJ232" s="4">
        <f t="shared" si="25"/>
        <v>70.209999999999994</v>
      </c>
      <c r="AK232" s="210"/>
    </row>
    <row r="233" spans="31:37" x14ac:dyDescent="0.25">
      <c r="AE233" s="72" t="s">
        <v>486</v>
      </c>
      <c r="AF233" s="77" t="s">
        <v>487</v>
      </c>
      <c r="AG233" s="26" t="s">
        <v>488</v>
      </c>
      <c r="AH233" s="77">
        <v>542.4</v>
      </c>
      <c r="AI233" s="4"/>
      <c r="AJ233" s="4">
        <f t="shared" si="25"/>
        <v>3200.16</v>
      </c>
      <c r="AK233" s="210"/>
    </row>
    <row r="234" spans="31:37" x14ac:dyDescent="0.25">
      <c r="AE234" s="72" t="s">
        <v>486</v>
      </c>
      <c r="AF234" s="77" t="s">
        <v>489</v>
      </c>
      <c r="AG234" s="26" t="s">
        <v>488</v>
      </c>
      <c r="AH234" s="77">
        <v>618</v>
      </c>
      <c r="AI234" s="4"/>
      <c r="AJ234" s="4">
        <f t="shared" si="25"/>
        <v>3646.2</v>
      </c>
      <c r="AK234" s="210"/>
    </row>
    <row r="235" spans="31:37" x14ac:dyDescent="0.25">
      <c r="AE235" s="40"/>
      <c r="AF235" s="35"/>
      <c r="AG235" s="4"/>
      <c r="AH235" s="4"/>
      <c r="AI235" s="4"/>
      <c r="AJ235" s="4">
        <f>AH235*5*1.18</f>
        <v>0</v>
      </c>
      <c r="AK235" s="210"/>
    </row>
    <row r="236" spans="31:37" x14ac:dyDescent="0.25">
      <c r="AE236" s="40"/>
      <c r="AF236" s="35"/>
      <c r="AG236" s="4"/>
      <c r="AH236" s="4"/>
      <c r="AI236" s="4"/>
      <c r="AJ236" s="4">
        <f t="shared" si="25"/>
        <v>0</v>
      </c>
      <c r="AK236" s="210"/>
    </row>
    <row r="237" spans="31:37" x14ac:dyDescent="0.25">
      <c r="AE237" s="40"/>
      <c r="AF237" s="35"/>
      <c r="AG237" s="4"/>
      <c r="AH237" s="4"/>
      <c r="AI237" s="4"/>
      <c r="AJ237" s="4">
        <f t="shared" ref="AJ237" si="26">AH237*5*1.18</f>
        <v>0</v>
      </c>
      <c r="AK237" s="210"/>
    </row>
    <row r="238" spans="31:37" x14ac:dyDescent="0.25">
      <c r="AG238" s="2" t="s">
        <v>20</v>
      </c>
      <c r="AH238" s="2">
        <f>SUM(AH210:AH237)</f>
        <v>6057.8699999999981</v>
      </c>
      <c r="AI238" s="2">
        <f>SUM(AI210:AI237)</f>
        <v>0</v>
      </c>
      <c r="AJ238" s="2">
        <f>SUM(AJ210:AJ237)</f>
        <v>35741.432999999997</v>
      </c>
    </row>
    <row r="242" spans="31:37" ht="28.5" x14ac:dyDescent="0.25">
      <c r="AE242" s="25"/>
      <c r="AF242" s="29"/>
      <c r="AG242" s="27" t="s">
        <v>27</v>
      </c>
      <c r="AJ242" s="25"/>
      <c r="AK242" s="208"/>
    </row>
    <row r="244" spans="31:37" x14ac:dyDescent="0.25">
      <c r="AE244" s="4" t="s">
        <v>14</v>
      </c>
      <c r="AF244" s="30" t="s">
        <v>15</v>
      </c>
      <c r="AG244" s="4" t="s">
        <v>16</v>
      </c>
      <c r="AH244" s="4" t="s">
        <v>17</v>
      </c>
      <c r="AI244" s="4" t="s">
        <v>78</v>
      </c>
      <c r="AJ244" s="4" t="s">
        <v>18</v>
      </c>
      <c r="AK244" s="210" t="s">
        <v>19</v>
      </c>
    </row>
    <row r="245" spans="31:37" x14ac:dyDescent="0.25">
      <c r="AE245" s="131" t="s">
        <v>490</v>
      </c>
      <c r="AF245" s="212" t="s">
        <v>491</v>
      </c>
      <c r="AG245" s="213" t="s">
        <v>467</v>
      </c>
      <c r="AH245" s="213">
        <v>57.4</v>
      </c>
      <c r="AI245" s="4"/>
      <c r="AJ245" s="4">
        <f>AH245*5*1.18</f>
        <v>338.65999999999997</v>
      </c>
      <c r="AK245" s="211"/>
    </row>
    <row r="246" spans="31:37" x14ac:dyDescent="0.25">
      <c r="AE246" s="71" t="s">
        <v>492</v>
      </c>
      <c r="AF246" s="76" t="s">
        <v>493</v>
      </c>
      <c r="AG246" s="88" t="s">
        <v>494</v>
      </c>
      <c r="AH246" s="80">
        <v>149.5</v>
      </c>
      <c r="AI246" s="4"/>
      <c r="AJ246" s="4">
        <f t="shared" ref="AJ246:AJ252" si="27">AH246*5*1.18</f>
        <v>882.05</v>
      </c>
      <c r="AK246" s="136"/>
    </row>
    <row r="247" spans="31:37" x14ac:dyDescent="0.25">
      <c r="AE247" s="70" t="s">
        <v>492</v>
      </c>
      <c r="AF247" s="28" t="s">
        <v>495</v>
      </c>
      <c r="AG247" s="26" t="s">
        <v>496</v>
      </c>
      <c r="AH247" s="26">
        <v>150</v>
      </c>
      <c r="AI247" s="4"/>
      <c r="AJ247" s="4">
        <f t="shared" si="27"/>
        <v>885</v>
      </c>
      <c r="AK247" s="136"/>
    </row>
    <row r="248" spans="31:37" x14ac:dyDescent="0.25">
      <c r="AE248" s="72" t="s">
        <v>497</v>
      </c>
      <c r="AF248" s="28" t="s">
        <v>498</v>
      </c>
      <c r="AG248" s="26" t="s">
        <v>499</v>
      </c>
      <c r="AH248" s="26">
        <v>106.2</v>
      </c>
      <c r="AI248" s="4"/>
      <c r="AJ248" s="4">
        <f t="shared" si="27"/>
        <v>626.57999999999993</v>
      </c>
      <c r="AK248" s="136"/>
    </row>
    <row r="249" spans="31:37" x14ac:dyDescent="0.25">
      <c r="AE249" s="71" t="s">
        <v>506</v>
      </c>
      <c r="AF249" s="76" t="s">
        <v>507</v>
      </c>
      <c r="AG249" s="88" t="s">
        <v>478</v>
      </c>
      <c r="AH249" s="80">
        <v>657</v>
      </c>
      <c r="AI249" s="4"/>
      <c r="AJ249" s="4">
        <f t="shared" si="27"/>
        <v>3876.2999999999997</v>
      </c>
      <c r="AK249" s="136"/>
    </row>
    <row r="250" spans="31:37" x14ac:dyDescent="0.25">
      <c r="AE250" s="72" t="s">
        <v>506</v>
      </c>
      <c r="AF250" s="28" t="s">
        <v>508</v>
      </c>
      <c r="AG250" s="26" t="s">
        <v>509</v>
      </c>
      <c r="AH250" s="26"/>
      <c r="AI250" s="4">
        <v>998</v>
      </c>
      <c r="AJ250" s="4">
        <f>AI250*3*1.18</f>
        <v>3532.9199999999996</v>
      </c>
      <c r="AK250" s="114" t="s">
        <v>199</v>
      </c>
    </row>
    <row r="251" spans="31:37" x14ac:dyDescent="0.25">
      <c r="AE251" s="166"/>
      <c r="AF251" s="170"/>
      <c r="AG251" s="167"/>
      <c r="AH251" s="4"/>
      <c r="AI251" s="4"/>
      <c r="AJ251" s="4">
        <f t="shared" si="27"/>
        <v>0</v>
      </c>
      <c r="AK251" s="210"/>
    </row>
    <row r="252" spans="31:37" x14ac:dyDescent="0.25">
      <c r="AE252" s="166"/>
      <c r="AF252" s="170"/>
      <c r="AG252" s="167"/>
      <c r="AH252" s="4"/>
      <c r="AI252" s="4"/>
      <c r="AJ252" s="4">
        <f t="shared" si="27"/>
        <v>0</v>
      </c>
      <c r="AK252" s="210"/>
    </row>
    <row r="253" spans="31:37" x14ac:dyDescent="0.25">
      <c r="AE253" s="166"/>
      <c r="AF253" s="170"/>
      <c r="AG253" s="167"/>
      <c r="AH253" s="4"/>
      <c r="AI253" s="4"/>
      <c r="AJ253" s="4"/>
      <c r="AK253" s="210"/>
    </row>
    <row r="254" spans="31:37" x14ac:dyDescent="0.25">
      <c r="AE254" s="166"/>
      <c r="AF254" s="170"/>
      <c r="AG254" s="167"/>
      <c r="AH254" s="4"/>
      <c r="AI254" s="4"/>
      <c r="AJ254" s="4"/>
      <c r="AK254" s="210"/>
    </row>
    <row r="255" spans="31:37" x14ac:dyDescent="0.25">
      <c r="AE255" s="166"/>
      <c r="AF255" s="170"/>
      <c r="AG255" s="167"/>
      <c r="AH255" s="4"/>
      <c r="AI255" s="4"/>
      <c r="AJ255" s="4"/>
      <c r="AK255" s="210"/>
    </row>
    <row r="256" spans="31:37" x14ac:dyDescent="0.25">
      <c r="AE256" s="166"/>
      <c r="AF256" s="170"/>
      <c r="AG256" s="167"/>
      <c r="AH256" s="4"/>
      <c r="AI256" s="4"/>
      <c r="AJ256" s="4"/>
      <c r="AK256" s="210"/>
    </row>
    <row r="257" spans="31:37" x14ac:dyDescent="0.25">
      <c r="AE257" s="166"/>
      <c r="AF257" s="170"/>
      <c r="AG257" s="167"/>
      <c r="AH257" s="4"/>
      <c r="AI257" s="4"/>
      <c r="AJ257" s="4"/>
      <c r="AK257" s="210"/>
    </row>
    <row r="258" spans="31:37" x14ac:dyDescent="0.25">
      <c r="AE258" s="166"/>
      <c r="AF258" s="166"/>
      <c r="AG258" s="167"/>
      <c r="AH258" s="4"/>
      <c r="AI258" s="4"/>
      <c r="AJ258" s="4"/>
      <c r="AK258" s="210"/>
    </row>
    <row r="259" spans="31:37" x14ac:dyDescent="0.25">
      <c r="AE259" s="40"/>
      <c r="AF259" s="35"/>
      <c r="AG259" s="167"/>
      <c r="AH259" s="4"/>
      <c r="AI259" s="4"/>
      <c r="AJ259" s="4"/>
      <c r="AK259" s="210"/>
    </row>
    <row r="260" spans="31:37" x14ac:dyDescent="0.25">
      <c r="AE260" s="40"/>
      <c r="AF260" s="35"/>
      <c r="AG260" s="4"/>
      <c r="AH260" s="4"/>
      <c r="AI260" s="4"/>
      <c r="AJ260" s="4"/>
      <c r="AK260" s="210"/>
    </row>
    <row r="261" spans="31:37" x14ac:dyDescent="0.25">
      <c r="AE261" s="40"/>
      <c r="AF261" s="35"/>
      <c r="AG261" s="4"/>
      <c r="AH261" s="4"/>
      <c r="AI261" s="4"/>
      <c r="AJ261" s="4"/>
      <c r="AK261" s="210"/>
    </row>
    <row r="262" spans="31:37" x14ac:dyDescent="0.25">
      <c r="AE262" s="40"/>
      <c r="AF262" s="35"/>
      <c r="AG262" s="4"/>
      <c r="AH262" s="4"/>
      <c r="AI262" s="4"/>
      <c r="AJ262" s="4"/>
      <c r="AK262" s="210"/>
    </row>
    <row r="263" spans="31:37" x14ac:dyDescent="0.25">
      <c r="AE263" s="40"/>
      <c r="AF263" s="35"/>
      <c r="AG263" s="4"/>
      <c r="AH263" s="4"/>
      <c r="AI263" s="4"/>
      <c r="AJ263" s="4">
        <f>AH263*4*1.18</f>
        <v>0</v>
      </c>
      <c r="AK263" s="210"/>
    </row>
    <row r="264" spans="31:37" x14ac:dyDescent="0.25">
      <c r="AE264" s="40"/>
      <c r="AF264" s="35"/>
      <c r="AG264" s="4"/>
      <c r="AH264" s="4"/>
      <c r="AI264" s="4"/>
      <c r="AJ264" s="4"/>
      <c r="AK264" s="210"/>
    </row>
    <row r="265" spans="31:37" x14ac:dyDescent="0.25">
      <c r="AE265" s="40"/>
      <c r="AF265" s="35"/>
      <c r="AG265" s="4"/>
      <c r="AH265" s="4"/>
      <c r="AI265" s="4"/>
      <c r="AJ265" s="4">
        <f t="shared" ref="AJ265" si="28">AH265*4*1.18</f>
        <v>0</v>
      </c>
      <c r="AK265" s="210"/>
    </row>
    <row r="266" spans="31:37" x14ac:dyDescent="0.25">
      <c r="AE266" s="40"/>
      <c r="AF266" s="35"/>
      <c r="AG266" s="4"/>
      <c r="AH266" s="4"/>
      <c r="AI266" s="4"/>
      <c r="AJ266" s="4"/>
      <c r="AK266" s="210"/>
    </row>
    <row r="267" spans="31:37" x14ac:dyDescent="0.25">
      <c r="AE267" s="40"/>
      <c r="AF267" s="35"/>
      <c r="AG267" s="4"/>
      <c r="AH267" s="4"/>
      <c r="AI267" s="4"/>
      <c r="AJ267" s="4"/>
      <c r="AK267" s="210"/>
    </row>
    <row r="268" spans="31:37" x14ac:dyDescent="0.25">
      <c r="AE268" s="40"/>
      <c r="AF268" s="35"/>
      <c r="AG268" s="4"/>
      <c r="AH268" s="4"/>
      <c r="AI268" s="4"/>
      <c r="AJ268" s="4"/>
      <c r="AK268" s="210"/>
    </row>
    <row r="269" spans="31:37" x14ac:dyDescent="0.25">
      <c r="AG269" s="2" t="s">
        <v>20</v>
      </c>
      <c r="AH269" s="2">
        <f>SUM(AH245:AH268)</f>
        <v>1120.0999999999999</v>
      </c>
      <c r="AI269" s="2">
        <f>SUM(AI245:AI268)</f>
        <v>998</v>
      </c>
      <c r="AJ269" s="2">
        <f>SUM(AJ245:AJ268)</f>
        <v>10141.51</v>
      </c>
    </row>
    <row r="273" spans="31:37" ht="28.5" x14ac:dyDescent="0.25">
      <c r="AE273" s="25"/>
      <c r="AF273" s="29"/>
      <c r="AG273" s="27" t="s">
        <v>28</v>
      </c>
      <c r="AJ273" s="25"/>
      <c r="AK273" s="208"/>
    </row>
    <row r="275" spans="31:37" x14ac:dyDescent="0.25">
      <c r="AE275" s="4" t="s">
        <v>14</v>
      </c>
      <c r="AF275" s="30" t="s">
        <v>15</v>
      </c>
      <c r="AG275" s="4" t="s">
        <v>16</v>
      </c>
      <c r="AH275" s="4" t="s">
        <v>17</v>
      </c>
      <c r="AI275" s="4" t="s">
        <v>78</v>
      </c>
      <c r="AJ275" s="4" t="s">
        <v>18</v>
      </c>
      <c r="AK275" s="210" t="s">
        <v>19</v>
      </c>
    </row>
    <row r="276" spans="31:37" x14ac:dyDescent="0.25">
      <c r="AE276" s="166"/>
      <c r="AF276" s="166"/>
      <c r="AG276" s="167"/>
      <c r="AH276" s="4"/>
      <c r="AI276" s="4"/>
      <c r="AJ276" s="4"/>
      <c r="AK276" s="135"/>
    </row>
    <row r="277" spans="31:37" x14ac:dyDescent="0.25">
      <c r="AE277" s="168"/>
      <c r="AF277" s="192"/>
      <c r="AG277" s="172"/>
      <c r="AH277" s="4"/>
      <c r="AI277" s="4"/>
      <c r="AJ277" s="4"/>
      <c r="AK277" s="136"/>
    </row>
    <row r="278" spans="31:37" x14ac:dyDescent="0.25">
      <c r="AE278" s="168"/>
      <c r="AF278" s="192"/>
      <c r="AG278" s="172"/>
      <c r="AH278" s="4"/>
      <c r="AI278" s="4"/>
      <c r="AJ278" s="4"/>
      <c r="AK278" s="136"/>
    </row>
    <row r="279" spans="31:37" x14ac:dyDescent="0.25">
      <c r="AE279" s="168"/>
      <c r="AF279" s="192"/>
      <c r="AG279" s="172"/>
      <c r="AH279" s="4"/>
      <c r="AI279" s="4"/>
      <c r="AJ279" s="4"/>
      <c r="AK279" s="136"/>
    </row>
    <row r="280" spans="31:37" x14ac:dyDescent="0.25">
      <c r="AE280" s="168"/>
      <c r="AF280" s="192"/>
      <c r="AG280" s="172"/>
      <c r="AH280" s="4"/>
      <c r="AI280" s="4"/>
      <c r="AJ280" s="4"/>
      <c r="AK280" s="136"/>
    </row>
    <row r="281" spans="31:37" x14ac:dyDescent="0.25">
      <c r="AE281" s="168"/>
      <c r="AF281" s="192"/>
      <c r="AG281" s="172"/>
      <c r="AH281" s="4"/>
      <c r="AI281" s="4"/>
      <c r="AJ281" s="4"/>
      <c r="AK281" s="136"/>
    </row>
    <row r="282" spans="31:37" x14ac:dyDescent="0.25">
      <c r="AE282" s="168"/>
      <c r="AF282" s="192"/>
      <c r="AG282" s="172"/>
      <c r="AH282" s="4"/>
      <c r="AI282" s="4"/>
      <c r="AJ282" s="4"/>
      <c r="AK282" s="136"/>
    </row>
    <row r="283" spans="31:37" x14ac:dyDescent="0.25">
      <c r="AE283" s="168"/>
      <c r="AF283" s="192"/>
      <c r="AG283" s="172"/>
      <c r="AH283" s="4"/>
      <c r="AI283" s="4"/>
      <c r="AJ283" s="4"/>
      <c r="AK283" s="136"/>
    </row>
    <row r="284" spans="31:37" x14ac:dyDescent="0.25">
      <c r="AE284" s="168"/>
      <c r="AF284" s="192"/>
      <c r="AG284" s="172"/>
      <c r="AH284" s="4"/>
      <c r="AI284" s="4"/>
      <c r="AJ284" s="4"/>
      <c r="AK284" s="136"/>
    </row>
    <row r="285" spans="31:37" x14ac:dyDescent="0.25">
      <c r="AE285" s="168"/>
      <c r="AF285" s="192"/>
      <c r="AG285" s="172"/>
      <c r="AH285" s="4"/>
      <c r="AI285" s="4"/>
      <c r="AJ285" s="4"/>
      <c r="AK285" s="210"/>
    </row>
    <row r="286" spans="31:37" x14ac:dyDescent="0.25">
      <c r="AE286" s="168"/>
      <c r="AF286" s="192"/>
      <c r="AG286" s="172"/>
      <c r="AH286" s="4"/>
      <c r="AI286" s="4"/>
      <c r="AJ286" s="4"/>
      <c r="AK286" s="210"/>
    </row>
    <row r="287" spans="31:37" x14ac:dyDescent="0.25">
      <c r="AE287" s="168"/>
      <c r="AF287" s="168"/>
      <c r="AG287" s="172"/>
      <c r="AH287" s="4"/>
      <c r="AI287" s="4"/>
      <c r="AJ287" s="4"/>
      <c r="AK287" s="210"/>
    </row>
    <row r="288" spans="31:37" x14ac:dyDescent="0.25">
      <c r="AE288" s="40"/>
      <c r="AF288" s="35"/>
      <c r="AG288" s="4"/>
      <c r="AH288" s="4"/>
      <c r="AI288" s="4"/>
      <c r="AJ288" s="4"/>
      <c r="AK288" s="210"/>
    </row>
    <row r="289" spans="31:37" x14ac:dyDescent="0.25">
      <c r="AE289" s="40"/>
      <c r="AF289" s="35"/>
      <c r="AG289" s="4"/>
      <c r="AH289" s="4"/>
      <c r="AI289" s="4"/>
      <c r="AJ289" s="4"/>
      <c r="AK289" s="210"/>
    </row>
    <row r="290" spans="31:37" x14ac:dyDescent="0.25">
      <c r="AE290" s="40"/>
      <c r="AF290" s="35"/>
      <c r="AG290" s="4"/>
      <c r="AH290" s="4"/>
      <c r="AI290" s="4"/>
      <c r="AJ290" s="4"/>
      <c r="AK290" s="210"/>
    </row>
    <row r="291" spans="31:37" x14ac:dyDescent="0.25">
      <c r="AE291" s="40"/>
      <c r="AF291" s="35"/>
      <c r="AG291" s="4"/>
      <c r="AH291" s="4"/>
      <c r="AI291" s="4"/>
      <c r="AJ291" s="4"/>
      <c r="AK291" s="210"/>
    </row>
    <row r="292" spans="31:37" x14ac:dyDescent="0.25">
      <c r="AE292" s="40"/>
      <c r="AF292" s="35"/>
      <c r="AG292" s="4"/>
      <c r="AH292" s="4"/>
      <c r="AI292" s="4"/>
      <c r="AJ292" s="4">
        <f t="shared" ref="AJ292:AJ298" si="29">AH292*4*1.18</f>
        <v>0</v>
      </c>
      <c r="AK292" s="210"/>
    </row>
    <row r="293" spans="31:37" x14ac:dyDescent="0.25">
      <c r="AE293" s="40"/>
      <c r="AF293" s="35"/>
      <c r="AG293" s="4"/>
      <c r="AH293" s="4"/>
      <c r="AI293" s="4"/>
      <c r="AJ293" s="4">
        <f t="shared" si="29"/>
        <v>0</v>
      </c>
      <c r="AK293" s="210"/>
    </row>
    <row r="294" spans="31:37" x14ac:dyDescent="0.25">
      <c r="AE294" s="40"/>
      <c r="AF294" s="35"/>
      <c r="AG294" s="4"/>
      <c r="AH294" s="4"/>
      <c r="AI294" s="4"/>
      <c r="AJ294" s="4">
        <f t="shared" si="29"/>
        <v>0</v>
      </c>
      <c r="AK294" s="210"/>
    </row>
    <row r="295" spans="31:37" x14ac:dyDescent="0.25">
      <c r="AE295" s="40"/>
      <c r="AF295" s="35"/>
      <c r="AG295" s="4"/>
      <c r="AH295" s="4"/>
      <c r="AI295" s="4"/>
      <c r="AJ295" s="4">
        <f t="shared" si="29"/>
        <v>0</v>
      </c>
      <c r="AK295" s="210"/>
    </row>
    <row r="296" spans="31:37" x14ac:dyDescent="0.25">
      <c r="AE296" s="40"/>
      <c r="AF296" s="35"/>
      <c r="AG296" s="4"/>
      <c r="AH296" s="4"/>
      <c r="AI296" s="4"/>
      <c r="AJ296" s="4">
        <f t="shared" si="29"/>
        <v>0</v>
      </c>
      <c r="AK296" s="210"/>
    </row>
    <row r="297" spans="31:37" x14ac:dyDescent="0.25">
      <c r="AE297" s="40"/>
      <c r="AF297" s="35"/>
      <c r="AG297" s="4"/>
      <c r="AH297" s="4"/>
      <c r="AI297" s="4"/>
      <c r="AJ297" s="4">
        <f t="shared" si="29"/>
        <v>0</v>
      </c>
      <c r="AK297" s="210"/>
    </row>
    <row r="298" spans="31:37" x14ac:dyDescent="0.25">
      <c r="AE298" s="40"/>
      <c r="AF298" s="35"/>
      <c r="AG298" s="4"/>
      <c r="AH298" s="4"/>
      <c r="AI298" s="4"/>
      <c r="AJ298" s="4">
        <f t="shared" si="29"/>
        <v>0</v>
      </c>
      <c r="AK298" s="210"/>
    </row>
    <row r="299" spans="31:37" x14ac:dyDescent="0.25">
      <c r="AE299" s="40"/>
      <c r="AF299" s="35"/>
      <c r="AG299" s="4"/>
      <c r="AH299" s="4"/>
      <c r="AI299" s="4"/>
      <c r="AJ299" s="4"/>
      <c r="AK299" s="210"/>
    </row>
    <row r="300" spans="31:37" x14ac:dyDescent="0.25">
      <c r="AG300" s="2" t="s">
        <v>20</v>
      </c>
      <c r="AH300" s="2">
        <f>SUM(AH276:AH299)</f>
        <v>0</v>
      </c>
      <c r="AI300" s="2">
        <f>SUM(AI276:AI299)</f>
        <v>0</v>
      </c>
      <c r="AJ300" s="2">
        <f>SUM(AJ276:AJ299)</f>
        <v>0</v>
      </c>
    </row>
    <row r="304" spans="31:37" ht="28.5" x14ac:dyDescent="0.25">
      <c r="AE304" s="25"/>
      <c r="AF304" s="29"/>
      <c r="AG304" s="27" t="s">
        <v>29</v>
      </c>
      <c r="AJ304" s="25"/>
      <c r="AK304" s="208"/>
    </row>
    <row r="306" spans="31:37" x14ac:dyDescent="0.25">
      <c r="AE306" s="4" t="s">
        <v>14</v>
      </c>
      <c r="AF306" s="30" t="s">
        <v>15</v>
      </c>
      <c r="AG306" s="4" t="s">
        <v>16</v>
      </c>
      <c r="AH306" s="4" t="s">
        <v>17</v>
      </c>
      <c r="AI306" s="4" t="s">
        <v>78</v>
      </c>
      <c r="AJ306" s="4" t="s">
        <v>18</v>
      </c>
      <c r="AK306" s="210" t="s">
        <v>19</v>
      </c>
    </row>
    <row r="307" spans="31:37" x14ac:dyDescent="0.25">
      <c r="AE307" s="168"/>
      <c r="AF307" s="192"/>
      <c r="AG307" s="172"/>
      <c r="AH307" s="4"/>
      <c r="AI307" s="4"/>
      <c r="AJ307" s="4"/>
      <c r="AK307" s="159"/>
    </row>
    <row r="308" spans="31:37" x14ac:dyDescent="0.25">
      <c r="AE308" s="168"/>
      <c r="AF308" s="168"/>
      <c r="AG308" s="172"/>
      <c r="AH308" s="4"/>
      <c r="AI308" s="4"/>
      <c r="AJ308" s="4"/>
      <c r="AK308" s="161"/>
    </row>
    <row r="309" spans="31:37" x14ac:dyDescent="0.25">
      <c r="AE309" s="168"/>
      <c r="AF309" s="146"/>
      <c r="AG309" s="145"/>
      <c r="AH309" s="145"/>
      <c r="AI309" s="145"/>
      <c r="AJ309" s="4"/>
      <c r="AK309" s="114"/>
    </row>
    <row r="310" spans="31:37" x14ac:dyDescent="0.25">
      <c r="AE310" s="142"/>
      <c r="AF310" s="146"/>
      <c r="AG310" s="145"/>
      <c r="AH310" s="145"/>
      <c r="AI310" s="145"/>
      <c r="AJ310" s="4"/>
      <c r="AK310" s="161"/>
    </row>
    <row r="311" spans="31:37" x14ac:dyDescent="0.25">
      <c r="AE311" s="142"/>
      <c r="AF311" s="146"/>
      <c r="AG311" s="145"/>
      <c r="AH311" s="145"/>
      <c r="AI311" s="145"/>
      <c r="AJ311" s="4"/>
      <c r="AK311" s="161"/>
    </row>
    <row r="312" spans="31:37" x14ac:dyDescent="0.25">
      <c r="AE312" s="142"/>
      <c r="AF312" s="146"/>
      <c r="AG312" s="145"/>
      <c r="AH312" s="145"/>
      <c r="AI312" s="145"/>
      <c r="AJ312" s="4"/>
      <c r="AK312" s="161"/>
    </row>
    <row r="313" spans="31:37" x14ac:dyDescent="0.25">
      <c r="AE313" s="142"/>
      <c r="AF313" s="146"/>
      <c r="AG313" s="145"/>
      <c r="AH313" s="145"/>
      <c r="AI313" s="145"/>
      <c r="AJ313" s="4"/>
      <c r="AK313" s="161"/>
    </row>
    <row r="314" spans="31:37" x14ac:dyDescent="0.25">
      <c r="AE314" s="142"/>
      <c r="AF314" s="146"/>
      <c r="AG314" s="145"/>
      <c r="AH314" s="145"/>
      <c r="AI314" s="145"/>
      <c r="AJ314" s="4"/>
      <c r="AK314" s="161"/>
    </row>
    <row r="315" spans="31:37" x14ac:dyDescent="0.25">
      <c r="AE315" s="142"/>
      <c r="AF315" s="143"/>
      <c r="AG315" s="144"/>
      <c r="AH315" s="145"/>
      <c r="AI315" s="145"/>
      <c r="AJ315" s="4"/>
      <c r="AK315" s="161"/>
    </row>
    <row r="316" spans="31:37" x14ac:dyDescent="0.25">
      <c r="AE316" s="142"/>
      <c r="AF316" s="146"/>
      <c r="AG316" s="145"/>
      <c r="AI316" s="145"/>
      <c r="AJ316" s="4"/>
      <c r="AK316" s="114"/>
    </row>
    <row r="317" spans="31:37" x14ac:dyDescent="0.25">
      <c r="AE317" s="142"/>
      <c r="AF317" s="146"/>
      <c r="AG317" s="145"/>
      <c r="AH317" s="145"/>
      <c r="AI317" s="145"/>
      <c r="AJ317" s="4"/>
      <c r="AK317" s="161"/>
    </row>
    <row r="318" spans="31:37" x14ac:dyDescent="0.25">
      <c r="AE318" s="142"/>
      <c r="AF318" s="146"/>
      <c r="AG318" s="145"/>
      <c r="AH318" s="145"/>
      <c r="AI318" s="145"/>
      <c r="AJ318" s="4"/>
      <c r="AK318" s="161"/>
    </row>
    <row r="319" spans="31:37" x14ac:dyDescent="0.25">
      <c r="AE319" s="142"/>
      <c r="AF319" s="146"/>
      <c r="AG319" s="145"/>
      <c r="AH319" s="145"/>
      <c r="AI319" s="145"/>
      <c r="AJ319" s="4"/>
      <c r="AK319" s="114"/>
    </row>
    <row r="320" spans="31:37" x14ac:dyDescent="0.25">
      <c r="AE320" s="142"/>
      <c r="AF320" s="146"/>
      <c r="AG320" s="145"/>
      <c r="AH320" s="145"/>
      <c r="AI320" s="145"/>
      <c r="AJ320" s="4"/>
      <c r="AK320" s="161"/>
    </row>
    <row r="321" spans="30:37" x14ac:dyDescent="0.25">
      <c r="AE321" s="142"/>
      <c r="AF321" s="146"/>
      <c r="AG321" s="145"/>
      <c r="AH321" s="145"/>
      <c r="AI321" s="145"/>
      <c r="AJ321" s="4"/>
      <c r="AK321" s="161"/>
    </row>
    <row r="322" spans="30:37" x14ac:dyDescent="0.25">
      <c r="AE322" s="142"/>
      <c r="AF322" s="146"/>
      <c r="AG322" s="145"/>
      <c r="AH322" s="145"/>
      <c r="AI322" s="145"/>
      <c r="AJ322" s="4"/>
      <c r="AK322" s="114"/>
    </row>
    <row r="323" spans="30:37" x14ac:dyDescent="0.25">
      <c r="AE323" s="142"/>
      <c r="AF323" s="146"/>
      <c r="AG323" s="145"/>
      <c r="AH323" s="145"/>
      <c r="AI323" s="145"/>
      <c r="AJ323" s="4"/>
      <c r="AK323" s="161"/>
    </row>
    <row r="324" spans="30:37" x14ac:dyDescent="0.25">
      <c r="AE324" s="142"/>
      <c r="AF324" s="146"/>
      <c r="AG324" s="145"/>
      <c r="AH324" s="145"/>
      <c r="AI324" s="145"/>
      <c r="AJ324" s="4"/>
      <c r="AK324" s="161"/>
    </row>
    <row r="325" spans="30:37" x14ac:dyDescent="0.25">
      <c r="AE325" s="142"/>
      <c r="AF325" s="146"/>
      <c r="AG325" s="145"/>
      <c r="AH325" s="145"/>
      <c r="AI325" s="145"/>
      <c r="AJ325" s="4"/>
      <c r="AK325" s="161"/>
    </row>
    <row r="326" spans="30:37" x14ac:dyDescent="0.25">
      <c r="AD326" t="s">
        <v>139</v>
      </c>
      <c r="AE326" s="142"/>
      <c r="AF326" s="146"/>
      <c r="AG326" s="145"/>
      <c r="AH326" s="145"/>
      <c r="AI326" s="145"/>
      <c r="AJ326" s="4"/>
      <c r="AK326" s="161"/>
    </row>
    <row r="327" spans="30:37" x14ac:dyDescent="0.25">
      <c r="AE327" s="142"/>
      <c r="AF327" s="146"/>
      <c r="AG327" s="145"/>
      <c r="AH327" s="145"/>
      <c r="AI327" s="145"/>
      <c r="AJ327" s="4"/>
      <c r="AK327" s="161"/>
    </row>
    <row r="328" spans="30:37" x14ac:dyDescent="0.25">
      <c r="AE328" s="142"/>
      <c r="AF328" s="146"/>
      <c r="AG328" s="145"/>
      <c r="AH328" s="145"/>
      <c r="AI328" s="145"/>
      <c r="AJ328" s="4"/>
      <c r="AK328" s="161"/>
    </row>
    <row r="329" spans="30:37" x14ac:dyDescent="0.25">
      <c r="AE329" s="142"/>
      <c r="AF329" s="146"/>
      <c r="AG329" s="145"/>
      <c r="AH329" s="145"/>
      <c r="AI329" s="145"/>
      <c r="AJ329" s="4">
        <f t="shared" ref="AJ329:AJ330" si="30">AH329*4*1.18</f>
        <v>0</v>
      </c>
      <c r="AK329" s="161"/>
    </row>
    <row r="330" spans="30:37" x14ac:dyDescent="0.25">
      <c r="AE330" s="142"/>
      <c r="AF330" s="146"/>
      <c r="AG330" s="145"/>
      <c r="AH330" s="145"/>
      <c r="AI330" s="145"/>
      <c r="AJ330" s="4">
        <f t="shared" si="30"/>
        <v>0</v>
      </c>
      <c r="AK330" s="161"/>
    </row>
    <row r="331" spans="30:37" x14ac:dyDescent="0.25">
      <c r="AG331" s="2" t="s">
        <v>20</v>
      </c>
      <c r="AH331" s="2">
        <f>SUM(AH307:AH330)</f>
        <v>0</v>
      </c>
      <c r="AI331" s="2">
        <f>SUM(AI307:AI330)</f>
        <v>0</v>
      </c>
      <c r="AJ331" s="2">
        <f>SUM(AJ307:AJ330)</f>
        <v>0</v>
      </c>
    </row>
    <row r="335" spans="30:37" ht="28.5" x14ac:dyDescent="0.25">
      <c r="AE335" s="25"/>
      <c r="AF335" s="29"/>
      <c r="AG335" s="27" t="s">
        <v>30</v>
      </c>
      <c r="AJ335" s="25"/>
      <c r="AK335" s="208"/>
    </row>
    <row r="337" spans="30:37" x14ac:dyDescent="0.25">
      <c r="AE337" s="4" t="s">
        <v>14</v>
      </c>
      <c r="AF337" s="30" t="s">
        <v>15</v>
      </c>
      <c r="AG337" s="4" t="s">
        <v>16</v>
      </c>
      <c r="AH337" s="4" t="s">
        <v>17</v>
      </c>
      <c r="AI337" s="4" t="s">
        <v>78</v>
      </c>
      <c r="AJ337" s="4" t="s">
        <v>18</v>
      </c>
      <c r="AK337" s="210" t="s">
        <v>19</v>
      </c>
    </row>
    <row r="338" spans="30:37" x14ac:dyDescent="0.25">
      <c r="AE338" s="40"/>
      <c r="AF338" s="28"/>
      <c r="AG338" s="26"/>
      <c r="AH338" s="4"/>
      <c r="AI338" s="4"/>
      <c r="AJ338" s="4"/>
      <c r="AK338" s="114"/>
    </row>
    <row r="339" spans="30:37" x14ac:dyDescent="0.25">
      <c r="AE339" s="40"/>
      <c r="AF339" s="35"/>
      <c r="AG339" s="4"/>
      <c r="AH339" s="4"/>
      <c r="AI339" s="4"/>
      <c r="AJ339" s="4"/>
      <c r="AK339" s="210"/>
    </row>
    <row r="340" spans="30:37" x14ac:dyDescent="0.25">
      <c r="AE340" s="40"/>
      <c r="AF340" s="35"/>
      <c r="AG340" s="4"/>
      <c r="AH340" s="4"/>
      <c r="AI340" s="4"/>
      <c r="AJ340" s="4"/>
      <c r="AK340" s="210"/>
    </row>
    <row r="341" spans="30:37" x14ac:dyDescent="0.25">
      <c r="AE341" s="40"/>
      <c r="AF341" s="35"/>
      <c r="AG341" s="4"/>
      <c r="AH341" s="4"/>
      <c r="AI341" s="4"/>
      <c r="AJ341" s="4"/>
      <c r="AK341" s="210"/>
    </row>
    <row r="342" spans="30:37" x14ac:dyDescent="0.25">
      <c r="AE342" s="40"/>
      <c r="AF342" s="35"/>
      <c r="AG342" s="4"/>
      <c r="AH342" s="4"/>
      <c r="AI342" s="4"/>
      <c r="AJ342" s="4"/>
      <c r="AK342" s="210"/>
    </row>
    <row r="343" spans="30:37" x14ac:dyDescent="0.25">
      <c r="AE343" s="40"/>
      <c r="AF343" s="35"/>
      <c r="AG343" s="4"/>
      <c r="AH343" s="4"/>
      <c r="AI343" s="4"/>
      <c r="AJ343" s="4"/>
      <c r="AK343" s="210"/>
    </row>
    <row r="344" spans="30:37" x14ac:dyDescent="0.25">
      <c r="AE344" s="40"/>
      <c r="AF344" s="35"/>
      <c r="AG344" s="4"/>
      <c r="AH344" s="4"/>
      <c r="AI344" s="4"/>
      <c r="AJ344" s="4"/>
      <c r="AK344" s="210"/>
    </row>
    <row r="345" spans="30:37" x14ac:dyDescent="0.25">
      <c r="AE345" s="40"/>
      <c r="AF345" s="35"/>
      <c r="AG345" s="4"/>
      <c r="AH345" s="4"/>
      <c r="AI345" s="4"/>
      <c r="AJ345" s="4"/>
      <c r="AK345" s="210"/>
    </row>
    <row r="346" spans="30:37" x14ac:dyDescent="0.25">
      <c r="AE346" s="40"/>
      <c r="AF346" s="35"/>
      <c r="AG346" s="4"/>
      <c r="AH346" s="4"/>
      <c r="AI346" s="4"/>
      <c r="AJ346" s="4"/>
      <c r="AK346" s="210"/>
    </row>
    <row r="347" spans="30:37" x14ac:dyDescent="0.25">
      <c r="AE347" s="40"/>
      <c r="AF347" s="35"/>
      <c r="AG347" s="4"/>
      <c r="AH347" s="4"/>
      <c r="AI347" s="4"/>
      <c r="AJ347" s="4"/>
      <c r="AK347" s="210"/>
    </row>
    <row r="348" spans="30:37" x14ac:dyDescent="0.25">
      <c r="AE348" s="40"/>
      <c r="AF348" s="35"/>
      <c r="AG348" s="4"/>
      <c r="AH348" s="4"/>
      <c r="AI348" s="4"/>
      <c r="AJ348" s="4"/>
      <c r="AK348" s="210"/>
    </row>
    <row r="349" spans="30:37" x14ac:dyDescent="0.25">
      <c r="AE349" s="40"/>
      <c r="AF349" s="35"/>
      <c r="AG349" s="4"/>
      <c r="AH349" s="4"/>
      <c r="AI349" s="4"/>
      <c r="AJ349" s="4"/>
      <c r="AK349" s="210"/>
    </row>
    <row r="350" spans="30:37" x14ac:dyDescent="0.25">
      <c r="AD350" t="s">
        <v>138</v>
      </c>
      <c r="AE350" s="40"/>
      <c r="AF350" s="35"/>
      <c r="AG350" s="4"/>
      <c r="AH350" s="4"/>
      <c r="AI350" s="4"/>
      <c r="AJ350" s="4"/>
      <c r="AK350" s="210"/>
    </row>
    <row r="351" spans="30:37" x14ac:dyDescent="0.25">
      <c r="AE351" s="40"/>
      <c r="AF351" s="35"/>
      <c r="AG351" s="4"/>
      <c r="AH351" s="4"/>
      <c r="AI351" s="4"/>
      <c r="AJ351" s="4"/>
      <c r="AK351" s="210"/>
    </row>
    <row r="352" spans="30:37" x14ac:dyDescent="0.25">
      <c r="AE352" s="40"/>
      <c r="AF352" s="35"/>
      <c r="AG352" s="4"/>
      <c r="AH352" s="4"/>
      <c r="AI352" s="4"/>
      <c r="AJ352" s="4"/>
      <c r="AK352" s="210"/>
    </row>
    <row r="353" spans="31:37" x14ac:dyDescent="0.25">
      <c r="AE353" s="40"/>
      <c r="AF353" s="35"/>
      <c r="AG353" s="4"/>
      <c r="AH353" s="4"/>
      <c r="AI353" s="4"/>
      <c r="AJ353" s="4"/>
      <c r="AK353" s="210"/>
    </row>
    <row r="354" spans="31:37" x14ac:dyDescent="0.25">
      <c r="AE354" s="40"/>
      <c r="AF354" s="35"/>
      <c r="AG354" s="4"/>
      <c r="AH354" s="4"/>
      <c r="AI354" s="4"/>
      <c r="AJ354" s="4"/>
      <c r="AK354" s="210"/>
    </row>
    <row r="355" spans="31:37" x14ac:dyDescent="0.25">
      <c r="AE355" s="40"/>
      <c r="AF355" s="35"/>
      <c r="AG355" s="4"/>
      <c r="AH355" s="4"/>
      <c r="AI355" s="4"/>
      <c r="AJ355" s="4"/>
      <c r="AK355" s="114"/>
    </row>
    <row r="356" spans="31:37" x14ac:dyDescent="0.25">
      <c r="AE356" s="40"/>
      <c r="AF356" s="35"/>
      <c r="AG356" s="4"/>
      <c r="AH356" s="4"/>
      <c r="AI356" s="4"/>
      <c r="AJ356" s="4"/>
      <c r="AK356" s="210"/>
    </row>
    <row r="357" spans="31:37" x14ac:dyDescent="0.25">
      <c r="AE357" s="40"/>
      <c r="AF357" s="35"/>
      <c r="AG357" s="4"/>
      <c r="AH357" s="4"/>
      <c r="AI357" s="4"/>
      <c r="AJ357" s="4"/>
      <c r="AK357" s="210"/>
    </row>
    <row r="358" spans="31:37" x14ac:dyDescent="0.25">
      <c r="AE358" s="40"/>
      <c r="AF358" s="35"/>
      <c r="AG358" s="4"/>
      <c r="AH358" s="4"/>
      <c r="AI358" s="4"/>
      <c r="AJ358" s="4">
        <f t="shared" ref="AJ358:AJ361" si="31">((AH358*4)+(AI358*2.8))*1.18</f>
        <v>0</v>
      </c>
      <c r="AK358" s="210"/>
    </row>
    <row r="359" spans="31:37" x14ac:dyDescent="0.25">
      <c r="AE359" s="40"/>
      <c r="AF359" s="35"/>
      <c r="AG359" s="4"/>
      <c r="AH359" s="4"/>
      <c r="AI359" s="4"/>
      <c r="AJ359" s="4">
        <f t="shared" si="31"/>
        <v>0</v>
      </c>
      <c r="AK359" s="210"/>
    </row>
    <row r="360" spans="31:37" x14ac:dyDescent="0.25">
      <c r="AE360" s="40"/>
      <c r="AF360" s="35"/>
      <c r="AG360" s="4"/>
      <c r="AH360" s="4"/>
      <c r="AI360" s="4"/>
      <c r="AJ360" s="4">
        <f t="shared" si="31"/>
        <v>0</v>
      </c>
      <c r="AK360" s="210"/>
    </row>
    <row r="361" spans="31:37" x14ac:dyDescent="0.25">
      <c r="AE361" s="40"/>
      <c r="AF361" s="35"/>
      <c r="AG361" s="4"/>
      <c r="AH361" s="4"/>
      <c r="AI361" s="4"/>
      <c r="AJ361" s="4">
        <f t="shared" si="31"/>
        <v>0</v>
      </c>
      <c r="AK361" s="210"/>
    </row>
    <row r="362" spans="31:37" x14ac:dyDescent="0.25">
      <c r="AG362" s="2" t="s">
        <v>20</v>
      </c>
      <c r="AH362" s="2">
        <f>SUM(AH338:AH361)</f>
        <v>0</v>
      </c>
      <c r="AI362" s="2">
        <f>SUM(AI338:AI361)</f>
        <v>0</v>
      </c>
      <c r="AJ362" s="2">
        <f>SUM(AJ338:AJ361)</f>
        <v>0</v>
      </c>
    </row>
    <row r="366" spans="31:37" ht="28.5" x14ac:dyDescent="0.25">
      <c r="AE366" s="25"/>
      <c r="AF366" s="29"/>
      <c r="AG366" s="27" t="s">
        <v>31</v>
      </c>
      <c r="AJ366" s="25"/>
      <c r="AK366" s="208"/>
    </row>
    <row r="368" spans="31:37" x14ac:dyDescent="0.25">
      <c r="AE368" s="4" t="s">
        <v>14</v>
      </c>
      <c r="AF368" s="30" t="s">
        <v>15</v>
      </c>
      <c r="AG368" s="4" t="s">
        <v>16</v>
      </c>
      <c r="AH368" s="4" t="s">
        <v>17</v>
      </c>
      <c r="AI368" s="4" t="s">
        <v>78</v>
      </c>
      <c r="AJ368" s="4" t="s">
        <v>18</v>
      </c>
      <c r="AK368" s="210" t="s">
        <v>19</v>
      </c>
    </row>
    <row r="369" spans="31:37" x14ac:dyDescent="0.25">
      <c r="AE369" s="40"/>
      <c r="AF369" s="35"/>
      <c r="AG369" s="4"/>
      <c r="AH369" s="4"/>
      <c r="AI369" s="4"/>
      <c r="AJ369" s="4"/>
      <c r="AK369" s="210"/>
    </row>
    <row r="370" spans="31:37" x14ac:dyDescent="0.25">
      <c r="AE370" s="40"/>
      <c r="AF370" s="35"/>
      <c r="AG370" s="4"/>
      <c r="AH370" s="4"/>
      <c r="AI370" s="4"/>
      <c r="AJ370" s="4"/>
      <c r="AK370" s="210"/>
    </row>
    <row r="371" spans="31:37" x14ac:dyDescent="0.25">
      <c r="AE371" s="40"/>
      <c r="AF371" s="35"/>
      <c r="AG371" s="4"/>
      <c r="AH371" s="4"/>
      <c r="AI371" s="4"/>
      <c r="AJ371" s="4"/>
      <c r="AK371" s="210"/>
    </row>
    <row r="372" spans="31:37" x14ac:dyDescent="0.25">
      <c r="AE372" s="40"/>
      <c r="AF372" s="35"/>
      <c r="AG372" s="4"/>
      <c r="AH372" s="4"/>
      <c r="AI372" s="4"/>
      <c r="AJ372" s="4"/>
      <c r="AK372" s="114"/>
    </row>
    <row r="373" spans="31:37" x14ac:dyDescent="0.25">
      <c r="AE373" s="40"/>
      <c r="AF373" s="35"/>
      <c r="AG373" s="4"/>
      <c r="AH373" s="4"/>
      <c r="AI373" s="4"/>
      <c r="AJ373" s="4"/>
      <c r="AK373" s="210"/>
    </row>
    <row r="374" spans="31:37" x14ac:dyDescent="0.25">
      <c r="AE374" s="40"/>
      <c r="AF374" s="35"/>
      <c r="AG374" s="4"/>
      <c r="AH374" s="4"/>
      <c r="AI374" s="4"/>
      <c r="AJ374" s="4"/>
      <c r="AK374" s="210"/>
    </row>
    <row r="375" spans="31:37" x14ac:dyDescent="0.25">
      <c r="AE375" s="40"/>
      <c r="AF375" s="35"/>
      <c r="AG375" s="4"/>
      <c r="AH375" s="4"/>
      <c r="AI375" s="4"/>
      <c r="AJ375" s="4"/>
      <c r="AK375" s="210"/>
    </row>
    <row r="376" spans="31:37" x14ac:dyDescent="0.25">
      <c r="AE376" s="40"/>
      <c r="AF376" s="35"/>
      <c r="AG376" s="4"/>
      <c r="AH376" s="4"/>
      <c r="AI376" s="4"/>
      <c r="AJ376" s="4"/>
      <c r="AK376" s="210"/>
    </row>
    <row r="377" spans="31:37" x14ac:dyDescent="0.25">
      <c r="AE377" s="40"/>
      <c r="AF377" s="35"/>
      <c r="AG377" s="4"/>
      <c r="AH377" s="4"/>
      <c r="AI377" s="4"/>
      <c r="AJ377" s="4"/>
      <c r="AK377" s="114"/>
    </row>
    <row r="378" spans="31:37" x14ac:dyDescent="0.25">
      <c r="AE378" s="40"/>
      <c r="AF378" s="35"/>
      <c r="AG378" s="4"/>
      <c r="AH378" s="4"/>
      <c r="AI378" s="4"/>
      <c r="AJ378" s="4"/>
      <c r="AK378" s="210"/>
    </row>
    <row r="379" spans="31:37" x14ac:dyDescent="0.25">
      <c r="AE379" s="40"/>
      <c r="AF379" s="35"/>
      <c r="AG379" s="4"/>
      <c r="AH379" s="4"/>
      <c r="AI379" s="4"/>
      <c r="AJ379" s="4"/>
      <c r="AK379" s="210"/>
    </row>
    <row r="380" spans="31:37" x14ac:dyDescent="0.25">
      <c r="AE380" s="40"/>
      <c r="AF380" s="35"/>
      <c r="AG380" s="4"/>
      <c r="AH380" s="4"/>
      <c r="AI380" s="4"/>
      <c r="AJ380" s="4"/>
      <c r="AK380" s="114"/>
    </row>
    <row r="381" spans="31:37" x14ac:dyDescent="0.25">
      <c r="AE381" s="40"/>
      <c r="AF381" s="35"/>
      <c r="AG381" s="4"/>
      <c r="AH381" s="4"/>
      <c r="AI381" s="4"/>
      <c r="AJ381" s="4"/>
      <c r="AK381" s="210"/>
    </row>
    <row r="382" spans="31:37" x14ac:dyDescent="0.25">
      <c r="AE382" s="40"/>
      <c r="AF382" s="35"/>
      <c r="AG382" s="4"/>
      <c r="AH382" s="4"/>
      <c r="AI382" s="4"/>
      <c r="AJ382" s="4"/>
      <c r="AK382" s="210"/>
    </row>
    <row r="383" spans="31:37" x14ac:dyDescent="0.25">
      <c r="AE383" s="40"/>
      <c r="AF383" s="35"/>
      <c r="AG383" s="4"/>
      <c r="AH383" s="4"/>
      <c r="AI383" s="4"/>
      <c r="AJ383" s="4"/>
      <c r="AK383" s="114"/>
    </row>
    <row r="384" spans="31:37" x14ac:dyDescent="0.25">
      <c r="AE384" s="40"/>
      <c r="AF384" s="35"/>
      <c r="AG384" s="4"/>
      <c r="AH384" s="4"/>
      <c r="AI384" s="4"/>
      <c r="AJ384" s="4"/>
      <c r="AK384" s="114"/>
    </row>
    <row r="385" spans="31:37" x14ac:dyDescent="0.25">
      <c r="AE385" s="40"/>
      <c r="AF385" s="35"/>
      <c r="AG385" s="4"/>
      <c r="AH385" s="4"/>
      <c r="AI385" s="4"/>
      <c r="AJ385" s="4"/>
      <c r="AK385" s="114"/>
    </row>
    <row r="386" spans="31:37" x14ac:dyDescent="0.25">
      <c r="AE386" s="40"/>
      <c r="AF386" s="35"/>
      <c r="AG386" s="4"/>
      <c r="AH386" s="4"/>
      <c r="AI386" s="4"/>
      <c r="AJ386" s="4"/>
      <c r="AK386" s="114"/>
    </row>
    <row r="387" spans="31:37" x14ac:dyDescent="0.25">
      <c r="AE387" s="40"/>
      <c r="AF387" s="35"/>
      <c r="AG387" s="4"/>
      <c r="AH387" s="4"/>
      <c r="AI387" s="4"/>
      <c r="AJ387" s="4"/>
      <c r="AK387" s="210"/>
    </row>
    <row r="388" spans="31:37" x14ac:dyDescent="0.25">
      <c r="AE388" s="40"/>
      <c r="AF388" s="35"/>
      <c r="AG388" s="4"/>
      <c r="AH388" s="4"/>
      <c r="AI388" s="4"/>
      <c r="AJ388" s="4"/>
      <c r="AK388" s="210"/>
    </row>
    <row r="389" spans="31:37" x14ac:dyDescent="0.25">
      <c r="AE389" s="40"/>
      <c r="AF389" s="35"/>
      <c r="AG389" s="4"/>
      <c r="AH389" s="4"/>
      <c r="AI389" s="4"/>
      <c r="AJ389" s="4"/>
      <c r="AK389" s="210"/>
    </row>
    <row r="390" spans="31:37" x14ac:dyDescent="0.25">
      <c r="AE390" s="40"/>
      <c r="AF390" s="35"/>
      <c r="AG390" s="4"/>
      <c r="AH390" s="4"/>
      <c r="AI390" s="4"/>
      <c r="AJ390" s="4">
        <f t="shared" ref="AJ390:AJ393" si="32">((AH390*4)+(AI390*2.8))*1.18</f>
        <v>0</v>
      </c>
      <c r="AK390" s="210"/>
    </row>
    <row r="391" spans="31:37" x14ac:dyDescent="0.25">
      <c r="AE391" s="40"/>
      <c r="AF391" s="35"/>
      <c r="AG391" s="4"/>
      <c r="AH391" s="4"/>
      <c r="AI391" s="4"/>
      <c r="AJ391" s="4">
        <f t="shared" si="32"/>
        <v>0</v>
      </c>
      <c r="AK391" s="210"/>
    </row>
    <row r="392" spans="31:37" x14ac:dyDescent="0.25">
      <c r="AE392" s="40"/>
      <c r="AF392" s="35"/>
      <c r="AG392" s="4"/>
      <c r="AH392" s="4"/>
      <c r="AI392" s="4"/>
      <c r="AJ392" s="4">
        <f t="shared" si="32"/>
        <v>0</v>
      </c>
      <c r="AK392" s="210"/>
    </row>
    <row r="393" spans="31:37" x14ac:dyDescent="0.25">
      <c r="AE393" s="40"/>
      <c r="AF393" s="35"/>
      <c r="AG393" s="4"/>
      <c r="AH393" s="4"/>
      <c r="AI393" s="4">
        <v>0</v>
      </c>
      <c r="AJ393" s="4">
        <f t="shared" si="32"/>
        <v>0</v>
      </c>
      <c r="AK393" s="210"/>
    </row>
    <row r="394" spans="31:37" x14ac:dyDescent="0.25">
      <c r="AG394" s="2" t="s">
        <v>20</v>
      </c>
      <c r="AH394" s="2">
        <f>SUM(AH369:AH393)</f>
        <v>0</v>
      </c>
      <c r="AI394" s="2">
        <f>SUM(AI369:AI393)</f>
        <v>0</v>
      </c>
      <c r="AJ394" s="2">
        <f>SUM(AJ369:AJ393)</f>
        <v>0</v>
      </c>
    </row>
    <row r="404" spans="35:35" x14ac:dyDescent="0.25">
      <c r="AI404" s="2">
        <f>AI394+AI362+AI331+AI300+AI269+AI238+AI203+AI172+AI141+AI110+AI79+AI31</f>
        <v>1440</v>
      </c>
    </row>
  </sheetData>
  <phoneticPr fontId="2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B7812-8197-455B-8745-3F8AE918CA9A}">
  <dimension ref="A1:AD494"/>
  <sheetViews>
    <sheetView tabSelected="1" topLeftCell="A354" zoomScaleNormal="100" workbookViewId="0">
      <selection activeCell="I381" sqref="I381"/>
    </sheetView>
  </sheetViews>
  <sheetFormatPr defaultRowHeight="15" x14ac:dyDescent="0.25"/>
  <cols>
    <col min="1" max="1" width="7.85546875" customWidth="1"/>
    <col min="2" max="2" width="15.42578125" customWidth="1"/>
    <col min="3" max="3" width="10.42578125" customWidth="1"/>
    <col min="4" max="4" width="8.7109375" customWidth="1"/>
    <col min="5" max="5" width="12.5703125" customWidth="1"/>
    <col min="6" max="6" width="28.85546875" customWidth="1"/>
    <col min="7" max="7" width="12.7109375" customWidth="1"/>
    <col min="8" max="8" width="11.5703125" customWidth="1"/>
    <col min="9" max="9" width="24" customWidth="1"/>
    <col min="10" max="10" width="6.85546875" customWidth="1"/>
    <col min="11" max="11" width="14.7109375" customWidth="1"/>
    <col min="12" max="12" width="10" customWidth="1"/>
    <col min="13" max="13" width="14.7109375" customWidth="1"/>
    <col min="14" max="14" width="9.42578125" customWidth="1"/>
    <col min="16" max="16" width="31.7109375" customWidth="1"/>
    <col min="17" max="17" width="11.42578125" customWidth="1"/>
    <col min="18" max="18" width="10" customWidth="1"/>
    <col min="19" max="19" width="12.42578125" customWidth="1"/>
    <col min="20" max="20" width="11" customWidth="1"/>
    <col min="21" max="21" width="5.7109375" customWidth="1"/>
    <col min="23" max="23" width="28" bestFit="1" customWidth="1"/>
    <col min="26" max="26" width="10.85546875" bestFit="1" customWidth="1"/>
    <col min="27" max="27" width="14.7109375" customWidth="1"/>
  </cols>
  <sheetData>
    <row r="1" spans="1:30" ht="26.25" x14ac:dyDescent="0.25">
      <c r="A1" s="18"/>
      <c r="B1" s="19"/>
      <c r="C1" s="20"/>
      <c r="D1" s="18"/>
      <c r="E1" s="18"/>
      <c r="F1" s="18"/>
      <c r="G1" s="20"/>
      <c r="H1" s="21" t="s">
        <v>83</v>
      </c>
      <c r="I1" s="20"/>
      <c r="J1" s="20"/>
      <c r="K1" s="20"/>
      <c r="L1" s="20"/>
      <c r="M1" s="18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spans="1:30" ht="18.75" x14ac:dyDescent="0.3">
      <c r="A2" s="15"/>
      <c r="B2" s="16" t="s">
        <v>1</v>
      </c>
      <c r="C2" s="17"/>
      <c r="D2" s="15"/>
      <c r="E2" s="15">
        <v>2024</v>
      </c>
      <c r="F2" s="15"/>
      <c r="G2" s="22"/>
      <c r="H2" s="17"/>
      <c r="I2" s="17" t="s">
        <v>10</v>
      </c>
      <c r="J2" s="17"/>
      <c r="K2" s="17">
        <v>2025</v>
      </c>
      <c r="L2" s="17"/>
      <c r="M2" s="15"/>
      <c r="N2" s="22"/>
      <c r="O2" s="17"/>
      <c r="P2" s="17" t="s">
        <v>82</v>
      </c>
      <c r="Q2" s="17">
        <v>2025</v>
      </c>
      <c r="R2" s="17"/>
      <c r="S2" s="17"/>
      <c r="T2" s="17"/>
      <c r="U2" s="22"/>
      <c r="V2" s="17"/>
      <c r="W2" s="17" t="s">
        <v>12</v>
      </c>
      <c r="X2" s="17"/>
      <c r="Y2" s="17"/>
      <c r="Z2" s="17">
        <v>2025</v>
      </c>
      <c r="AA2" s="17"/>
    </row>
    <row r="3" spans="1:30" x14ac:dyDescent="0.25">
      <c r="A3" s="7"/>
      <c r="B3" s="9"/>
      <c r="C3" s="1"/>
      <c r="D3" s="7"/>
      <c r="E3" s="7"/>
      <c r="F3" s="7"/>
      <c r="G3" s="1"/>
      <c r="H3" s="1"/>
      <c r="I3" s="1"/>
      <c r="J3" s="1"/>
      <c r="K3" s="1"/>
      <c r="L3" s="1"/>
      <c r="M3" s="7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30" x14ac:dyDescent="0.25">
      <c r="A4" s="4" t="s">
        <v>2</v>
      </c>
      <c r="B4" s="4" t="s">
        <v>4</v>
      </c>
      <c r="C4" s="4" t="s">
        <v>3</v>
      </c>
      <c r="D4" s="4" t="s">
        <v>5</v>
      </c>
      <c r="E4" s="5" t="s">
        <v>6</v>
      </c>
      <c r="F4" s="4" t="s">
        <v>7</v>
      </c>
      <c r="G4" s="11"/>
      <c r="H4" s="4" t="s">
        <v>2</v>
      </c>
      <c r="I4" s="4" t="s">
        <v>4</v>
      </c>
      <c r="J4" s="4" t="s">
        <v>3</v>
      </c>
      <c r="K4" s="4" t="s">
        <v>5</v>
      </c>
      <c r="L4" s="5" t="s">
        <v>6</v>
      </c>
      <c r="M4" s="4" t="s">
        <v>7</v>
      </c>
      <c r="N4" s="11"/>
      <c r="O4" s="4" t="s">
        <v>2</v>
      </c>
      <c r="P4" s="4" t="s">
        <v>4</v>
      </c>
      <c r="Q4" s="4" t="s">
        <v>3</v>
      </c>
      <c r="R4" s="4" t="s">
        <v>5</v>
      </c>
      <c r="S4" s="5" t="s">
        <v>6</v>
      </c>
      <c r="T4" s="4" t="s">
        <v>7</v>
      </c>
      <c r="U4" s="11"/>
      <c r="V4" s="4" t="s">
        <v>2</v>
      </c>
      <c r="W4" s="4" t="s">
        <v>4</v>
      </c>
      <c r="X4" s="4" t="s">
        <v>3</v>
      </c>
      <c r="Y4" s="4" t="s">
        <v>5</v>
      </c>
      <c r="Z4" s="5" t="s">
        <v>6</v>
      </c>
      <c r="AA4" s="4" t="s">
        <v>7</v>
      </c>
    </row>
    <row r="5" spans="1:30" x14ac:dyDescent="0.25">
      <c r="A5" s="139">
        <v>1</v>
      </c>
      <c r="B5" s="140" t="s">
        <v>8</v>
      </c>
      <c r="C5" s="141" t="s">
        <v>34</v>
      </c>
      <c r="D5" s="139">
        <v>20010</v>
      </c>
      <c r="E5" s="139">
        <v>4</v>
      </c>
      <c r="F5" s="139">
        <v>82526</v>
      </c>
      <c r="G5" s="12"/>
      <c r="H5" s="4">
        <v>1</v>
      </c>
      <c r="I5" s="140" t="s">
        <v>8</v>
      </c>
      <c r="J5" s="141" t="s">
        <v>34</v>
      </c>
      <c r="K5" s="3">
        <v>7285</v>
      </c>
      <c r="L5" s="3">
        <v>4.84</v>
      </c>
      <c r="M5" s="4">
        <f>K5*L5</f>
        <v>35259.4</v>
      </c>
      <c r="N5" s="12"/>
      <c r="O5" s="4">
        <v>1</v>
      </c>
      <c r="P5" s="140" t="s">
        <v>8</v>
      </c>
      <c r="Q5" s="141" t="s">
        <v>34</v>
      </c>
      <c r="R5" s="4">
        <v>21638</v>
      </c>
      <c r="S5" s="4">
        <v>4.82</v>
      </c>
      <c r="T5" s="4">
        <f>R5*S5</f>
        <v>104295.16</v>
      </c>
      <c r="U5" s="12"/>
      <c r="V5" s="4">
        <v>1</v>
      </c>
      <c r="W5" s="140" t="s">
        <v>8</v>
      </c>
      <c r="X5" s="141" t="s">
        <v>34</v>
      </c>
      <c r="Y5" s="4">
        <v>22000</v>
      </c>
      <c r="Z5" s="4">
        <v>4.6100000000000003</v>
      </c>
      <c r="AA5" s="4">
        <f>Y5*Z5</f>
        <v>101420</v>
      </c>
      <c r="AB5">
        <v>23190</v>
      </c>
    </row>
    <row r="6" spans="1:30" x14ac:dyDescent="0.25">
      <c r="A6" s="139">
        <v>2</v>
      </c>
      <c r="B6" s="140" t="s">
        <v>80</v>
      </c>
      <c r="C6" s="141" t="s">
        <v>34</v>
      </c>
      <c r="D6" s="139">
        <v>4538.3</v>
      </c>
      <c r="E6" s="139"/>
      <c r="F6" s="139">
        <v>0</v>
      </c>
      <c r="G6" s="12"/>
      <c r="H6" s="4">
        <v>2</v>
      </c>
      <c r="I6" s="140" t="s">
        <v>80</v>
      </c>
      <c r="J6" s="141" t="s">
        <v>34</v>
      </c>
      <c r="K6" s="3">
        <v>564.4</v>
      </c>
      <c r="L6" s="3">
        <v>5.84</v>
      </c>
      <c r="M6" s="4">
        <f t="shared" ref="M6:M9" si="0">K6*L6</f>
        <v>3296.096</v>
      </c>
      <c r="N6" s="12"/>
      <c r="O6" s="4">
        <v>2</v>
      </c>
      <c r="P6" s="140" t="s">
        <v>80</v>
      </c>
      <c r="Q6" s="141" t="s">
        <v>34</v>
      </c>
      <c r="R6" s="4">
        <v>2500</v>
      </c>
      <c r="S6" s="4"/>
      <c r="T6" s="4">
        <f t="shared" ref="T6:T9" si="1">R6*S6</f>
        <v>0</v>
      </c>
      <c r="U6" s="12"/>
      <c r="V6" s="4">
        <v>2</v>
      </c>
      <c r="W6" s="140" t="s">
        <v>80</v>
      </c>
      <c r="X6" s="141" t="s">
        <v>34</v>
      </c>
      <c r="Y6" s="4">
        <v>2555</v>
      </c>
      <c r="Z6" s="4">
        <v>5.61</v>
      </c>
      <c r="AA6" s="4">
        <f t="shared" ref="AA6:AA7" si="2">Y6*Z6</f>
        <v>14333.550000000001</v>
      </c>
      <c r="AB6">
        <v>2802.7</v>
      </c>
    </row>
    <row r="7" spans="1:30" x14ac:dyDescent="0.25">
      <c r="A7" s="139">
        <v>3</v>
      </c>
      <c r="B7" s="140" t="s">
        <v>81</v>
      </c>
      <c r="C7" s="141" t="s">
        <v>34</v>
      </c>
      <c r="D7" s="139">
        <v>560.30000000000018</v>
      </c>
      <c r="E7" s="139"/>
      <c r="F7" s="139">
        <v>0</v>
      </c>
      <c r="G7" s="12"/>
      <c r="H7" s="4">
        <v>3</v>
      </c>
      <c r="I7" s="140" t="s">
        <v>81</v>
      </c>
      <c r="J7" s="141" t="s">
        <v>34</v>
      </c>
      <c r="K7" s="3">
        <v>265</v>
      </c>
      <c r="L7" s="3">
        <v>4.4400000000000004</v>
      </c>
      <c r="M7" s="4">
        <f t="shared" si="0"/>
        <v>1176.6000000000001</v>
      </c>
      <c r="N7" s="12"/>
      <c r="O7" s="4">
        <v>3</v>
      </c>
      <c r="P7" s="140" t="s">
        <v>81</v>
      </c>
      <c r="Q7" s="141" t="s">
        <v>34</v>
      </c>
      <c r="R7" s="4">
        <v>650</v>
      </c>
      <c r="S7" s="4"/>
      <c r="T7" s="4">
        <f t="shared" si="1"/>
        <v>0</v>
      </c>
      <c r="U7" s="12"/>
      <c r="V7" s="4">
        <v>3</v>
      </c>
      <c r="W7" s="140" t="s">
        <v>81</v>
      </c>
      <c r="X7" s="141" t="s">
        <v>34</v>
      </c>
      <c r="Y7" s="4">
        <v>500</v>
      </c>
      <c r="Z7" s="4">
        <v>4.5</v>
      </c>
      <c r="AA7" s="4">
        <f t="shared" si="2"/>
        <v>2250</v>
      </c>
      <c r="AB7">
        <v>715.30000000000018</v>
      </c>
    </row>
    <row r="8" spans="1:30" x14ac:dyDescent="0.25">
      <c r="A8" s="139">
        <v>4</v>
      </c>
      <c r="B8" s="140"/>
      <c r="C8" s="141"/>
      <c r="D8" s="139"/>
      <c r="E8" s="139"/>
      <c r="F8" s="139"/>
      <c r="G8" s="12"/>
      <c r="H8" s="4">
        <v>4</v>
      </c>
      <c r="I8" s="140"/>
      <c r="J8" s="141"/>
      <c r="K8" s="3"/>
      <c r="L8" s="3"/>
      <c r="M8" s="4">
        <f t="shared" si="0"/>
        <v>0</v>
      </c>
      <c r="N8" s="12"/>
      <c r="O8" s="4">
        <v>4</v>
      </c>
      <c r="P8" s="140"/>
      <c r="Q8" s="141"/>
      <c r="R8" s="4"/>
      <c r="S8" s="4"/>
      <c r="T8" s="4">
        <f t="shared" si="1"/>
        <v>0</v>
      </c>
      <c r="U8" s="12"/>
      <c r="V8" s="4">
        <v>4</v>
      </c>
      <c r="W8" s="140"/>
      <c r="X8" s="141"/>
      <c r="Y8" s="4"/>
      <c r="Z8" s="4"/>
      <c r="AA8" s="4"/>
    </row>
    <row r="9" spans="1:30" x14ac:dyDescent="0.25">
      <c r="A9" s="139">
        <v>5</v>
      </c>
      <c r="B9" s="140"/>
      <c r="C9" s="141"/>
      <c r="D9" s="139"/>
      <c r="E9" s="139"/>
      <c r="F9" s="139"/>
      <c r="G9" s="12"/>
      <c r="H9" s="4">
        <v>5</v>
      </c>
      <c r="I9" s="140"/>
      <c r="J9" s="141"/>
      <c r="K9" s="3"/>
      <c r="L9" s="3"/>
      <c r="M9" s="4">
        <f t="shared" si="0"/>
        <v>0</v>
      </c>
      <c r="N9" s="12"/>
      <c r="O9" s="4">
        <v>5</v>
      </c>
      <c r="P9" s="140"/>
      <c r="Q9" s="141"/>
      <c r="R9" s="4"/>
      <c r="S9" s="4"/>
      <c r="T9" s="4">
        <f t="shared" si="1"/>
        <v>0</v>
      </c>
      <c r="U9" s="12"/>
      <c r="V9" s="4">
        <v>5</v>
      </c>
      <c r="W9" s="140"/>
      <c r="X9" s="141"/>
      <c r="Y9" s="4"/>
      <c r="Z9" s="4"/>
      <c r="AA9" s="4"/>
      <c r="AD9">
        <f>Y5+Y6+Y7</f>
        <v>25055</v>
      </c>
    </row>
    <row r="10" spans="1:30" x14ac:dyDescent="0.25">
      <c r="A10" s="139">
        <v>6</v>
      </c>
      <c r="B10" s="140" t="s">
        <v>32</v>
      </c>
      <c r="C10" s="141" t="s">
        <v>57</v>
      </c>
      <c r="D10" s="139">
        <v>109</v>
      </c>
      <c r="E10" s="139"/>
      <c r="F10" s="139">
        <v>0</v>
      </c>
      <c r="G10" s="12"/>
      <c r="H10" s="4">
        <v>6</v>
      </c>
      <c r="I10" s="140" t="s">
        <v>32</v>
      </c>
      <c r="J10" s="141" t="s">
        <v>57</v>
      </c>
      <c r="K10" s="3"/>
      <c r="L10" s="3"/>
      <c r="M10" s="4">
        <f t="shared" ref="M10:M31" si="3">K10*L10</f>
        <v>0</v>
      </c>
      <c r="N10" s="12"/>
      <c r="O10" s="4">
        <v>6</v>
      </c>
      <c r="P10" s="140" t="s">
        <v>32</v>
      </c>
      <c r="Q10" s="141" t="s">
        <v>57</v>
      </c>
      <c r="R10" s="4"/>
      <c r="S10" s="4"/>
      <c r="T10" s="4">
        <f t="shared" ref="T10:T32" si="4">R10*S10</f>
        <v>0</v>
      </c>
      <c r="U10" s="12"/>
      <c r="V10" s="4">
        <v>6</v>
      </c>
      <c r="W10" s="140" t="s">
        <v>32</v>
      </c>
      <c r="X10" s="141" t="s">
        <v>57</v>
      </c>
      <c r="Y10" s="4">
        <f t="shared" ref="Y10:Y32" si="5">D10+K10-R10</f>
        <v>109</v>
      </c>
      <c r="Z10" s="4"/>
      <c r="AA10" s="4">
        <f t="shared" ref="AA10:AA32" si="6">Y10*Z10</f>
        <v>0</v>
      </c>
      <c r="AB10">
        <v>109</v>
      </c>
    </row>
    <row r="11" spans="1:30" x14ac:dyDescent="0.25">
      <c r="A11" s="139">
        <v>7</v>
      </c>
      <c r="B11" s="140" t="s">
        <v>33</v>
      </c>
      <c r="C11" s="141" t="s">
        <v>35</v>
      </c>
      <c r="D11" s="139">
        <v>15</v>
      </c>
      <c r="E11" s="139"/>
      <c r="F11" s="139">
        <v>0</v>
      </c>
      <c r="G11" s="12"/>
      <c r="H11" s="4">
        <v>7</v>
      </c>
      <c r="I11" s="140" t="s">
        <v>33</v>
      </c>
      <c r="J11" s="141" t="s">
        <v>35</v>
      </c>
      <c r="K11" s="3"/>
      <c r="L11" s="3"/>
      <c r="M11" s="4">
        <f t="shared" si="3"/>
        <v>0</v>
      </c>
      <c r="N11" s="12"/>
      <c r="O11" s="4">
        <v>7</v>
      </c>
      <c r="P11" s="140" t="s">
        <v>33</v>
      </c>
      <c r="Q11" s="141" t="s">
        <v>35</v>
      </c>
      <c r="R11" s="4"/>
      <c r="S11" s="4"/>
      <c r="T11" s="4">
        <f t="shared" si="4"/>
        <v>0</v>
      </c>
      <c r="U11" s="12"/>
      <c r="V11" s="4">
        <v>7</v>
      </c>
      <c r="W11" s="140" t="s">
        <v>33</v>
      </c>
      <c r="X11" s="141" t="s">
        <v>35</v>
      </c>
      <c r="Y11" s="4">
        <f t="shared" si="5"/>
        <v>15</v>
      </c>
      <c r="Z11" s="4"/>
      <c r="AA11" s="4">
        <f t="shared" si="6"/>
        <v>0</v>
      </c>
      <c r="AB11">
        <v>15</v>
      </c>
    </row>
    <row r="12" spans="1:30" x14ac:dyDescent="0.25">
      <c r="A12" s="139">
        <v>8</v>
      </c>
      <c r="B12" s="140" t="s">
        <v>36</v>
      </c>
      <c r="C12" s="141" t="s">
        <v>37</v>
      </c>
      <c r="D12" s="139">
        <v>77</v>
      </c>
      <c r="E12" s="141"/>
      <c r="F12" s="139">
        <v>0</v>
      </c>
      <c r="G12" s="12"/>
      <c r="H12" s="4">
        <v>8</v>
      </c>
      <c r="I12" s="140" t="s">
        <v>36</v>
      </c>
      <c r="J12" s="141" t="s">
        <v>37</v>
      </c>
      <c r="K12" s="3"/>
      <c r="L12" s="3"/>
      <c r="M12" s="4">
        <f t="shared" si="3"/>
        <v>0</v>
      </c>
      <c r="N12" s="12"/>
      <c r="O12" s="4">
        <v>8</v>
      </c>
      <c r="P12" s="140" t="s">
        <v>36</v>
      </c>
      <c r="Q12" s="141" t="s">
        <v>37</v>
      </c>
      <c r="R12" s="3"/>
      <c r="S12" s="3"/>
      <c r="T12" s="4">
        <f t="shared" si="4"/>
        <v>0</v>
      </c>
      <c r="U12" s="12"/>
      <c r="V12" s="4">
        <v>8</v>
      </c>
      <c r="W12" s="140" t="s">
        <v>36</v>
      </c>
      <c r="X12" s="141" t="s">
        <v>37</v>
      </c>
      <c r="Y12" s="4">
        <f t="shared" si="5"/>
        <v>77</v>
      </c>
      <c r="Z12" s="3"/>
      <c r="AA12" s="4">
        <f t="shared" si="6"/>
        <v>0</v>
      </c>
      <c r="AB12">
        <v>77</v>
      </c>
    </row>
    <row r="13" spans="1:30" x14ac:dyDescent="0.25">
      <c r="A13" s="139">
        <v>9</v>
      </c>
      <c r="B13" s="140" t="s">
        <v>38</v>
      </c>
      <c r="C13" s="141" t="s">
        <v>37</v>
      </c>
      <c r="D13" s="139">
        <v>20</v>
      </c>
      <c r="E13" s="141"/>
      <c r="F13" s="139">
        <v>0</v>
      </c>
      <c r="G13" s="12"/>
      <c r="H13" s="4">
        <v>9</v>
      </c>
      <c r="I13" s="140" t="s">
        <v>38</v>
      </c>
      <c r="J13" s="141" t="s">
        <v>37</v>
      </c>
      <c r="K13" s="3"/>
      <c r="L13" s="3"/>
      <c r="M13" s="4">
        <f t="shared" si="3"/>
        <v>0</v>
      </c>
      <c r="N13" s="12"/>
      <c r="O13" s="4">
        <v>9</v>
      </c>
      <c r="P13" s="140" t="s">
        <v>38</v>
      </c>
      <c r="Q13" s="141" t="s">
        <v>37</v>
      </c>
      <c r="R13" s="3"/>
      <c r="S13" s="3"/>
      <c r="T13" s="4">
        <f t="shared" si="4"/>
        <v>0</v>
      </c>
      <c r="U13" s="12"/>
      <c r="V13" s="4">
        <v>9</v>
      </c>
      <c r="W13" s="140" t="s">
        <v>38</v>
      </c>
      <c r="X13" s="141" t="s">
        <v>37</v>
      </c>
      <c r="Y13" s="4">
        <f t="shared" si="5"/>
        <v>20</v>
      </c>
      <c r="Z13" s="3"/>
      <c r="AA13" s="4">
        <f t="shared" si="6"/>
        <v>0</v>
      </c>
      <c r="AB13">
        <v>20</v>
      </c>
    </row>
    <row r="14" spans="1:30" x14ac:dyDescent="0.25">
      <c r="A14" s="139">
        <v>10</v>
      </c>
      <c r="B14" s="140" t="s">
        <v>39</v>
      </c>
      <c r="C14" s="141" t="s">
        <v>37</v>
      </c>
      <c r="D14" s="139">
        <v>25</v>
      </c>
      <c r="E14" s="141"/>
      <c r="F14" s="139">
        <v>0</v>
      </c>
      <c r="G14" s="12"/>
      <c r="H14" s="4">
        <v>10</v>
      </c>
      <c r="I14" s="140" t="s">
        <v>39</v>
      </c>
      <c r="J14" s="141" t="s">
        <v>37</v>
      </c>
      <c r="K14" s="3"/>
      <c r="L14" s="3"/>
      <c r="M14" s="4">
        <f t="shared" si="3"/>
        <v>0</v>
      </c>
      <c r="N14" s="12"/>
      <c r="O14" s="4">
        <v>10</v>
      </c>
      <c r="P14" s="140" t="s">
        <v>39</v>
      </c>
      <c r="Q14" s="141" t="s">
        <v>37</v>
      </c>
      <c r="R14" s="3"/>
      <c r="S14" s="3"/>
      <c r="T14" s="4">
        <f t="shared" si="4"/>
        <v>0</v>
      </c>
      <c r="U14" s="12"/>
      <c r="V14" s="4">
        <v>10</v>
      </c>
      <c r="W14" s="140" t="s">
        <v>39</v>
      </c>
      <c r="X14" s="141" t="s">
        <v>37</v>
      </c>
      <c r="Y14" s="4">
        <f t="shared" si="5"/>
        <v>25</v>
      </c>
      <c r="Z14" s="3"/>
      <c r="AA14" s="4">
        <f t="shared" si="6"/>
        <v>0</v>
      </c>
      <c r="AB14">
        <v>25</v>
      </c>
    </row>
    <row r="15" spans="1:30" x14ac:dyDescent="0.25">
      <c r="A15" s="139">
        <v>11</v>
      </c>
      <c r="B15" s="140" t="s">
        <v>40</v>
      </c>
      <c r="C15" s="141" t="s">
        <v>37</v>
      </c>
      <c r="D15" s="139">
        <v>283</v>
      </c>
      <c r="E15" s="141"/>
      <c r="F15" s="139">
        <v>0</v>
      </c>
      <c r="G15" s="12"/>
      <c r="H15" s="4">
        <v>11</v>
      </c>
      <c r="I15" s="140" t="s">
        <v>40</v>
      </c>
      <c r="J15" s="141" t="s">
        <v>37</v>
      </c>
      <c r="K15" s="3"/>
      <c r="L15" s="3"/>
      <c r="M15" s="4">
        <f t="shared" si="3"/>
        <v>0</v>
      </c>
      <c r="N15" s="12"/>
      <c r="O15" s="4">
        <v>11</v>
      </c>
      <c r="P15" s="140" t="s">
        <v>40</v>
      </c>
      <c r="Q15" s="141" t="s">
        <v>37</v>
      </c>
      <c r="R15" s="3"/>
      <c r="S15" s="3"/>
      <c r="T15" s="4">
        <f t="shared" si="4"/>
        <v>0</v>
      </c>
      <c r="U15" s="12"/>
      <c r="V15" s="4">
        <v>11</v>
      </c>
      <c r="W15" s="140" t="s">
        <v>40</v>
      </c>
      <c r="X15" s="141" t="s">
        <v>37</v>
      </c>
      <c r="Y15" s="4">
        <f t="shared" si="5"/>
        <v>283</v>
      </c>
      <c r="Z15" s="3"/>
      <c r="AA15" s="4">
        <f t="shared" si="6"/>
        <v>0</v>
      </c>
      <c r="AB15">
        <v>283</v>
      </c>
    </row>
    <row r="16" spans="1:30" x14ac:dyDescent="0.25">
      <c r="A16" s="139">
        <v>12</v>
      </c>
      <c r="B16" s="140" t="s">
        <v>41</v>
      </c>
      <c r="C16" s="141" t="s">
        <v>34</v>
      </c>
      <c r="D16" s="139">
        <v>30</v>
      </c>
      <c r="E16" s="141"/>
      <c r="F16" s="139">
        <v>0</v>
      </c>
      <c r="G16" s="12"/>
      <c r="H16" s="4">
        <v>12</v>
      </c>
      <c r="I16" s="140" t="s">
        <v>41</v>
      </c>
      <c r="J16" s="141" t="s">
        <v>34</v>
      </c>
      <c r="K16" s="3"/>
      <c r="L16" s="3"/>
      <c r="M16" s="4">
        <f t="shared" si="3"/>
        <v>0</v>
      </c>
      <c r="N16" s="12"/>
      <c r="O16" s="4">
        <v>12</v>
      </c>
      <c r="P16" s="140" t="s">
        <v>41</v>
      </c>
      <c r="Q16" s="141" t="s">
        <v>34</v>
      </c>
      <c r="R16" s="3"/>
      <c r="S16" s="3"/>
      <c r="T16" s="4">
        <f t="shared" si="4"/>
        <v>0</v>
      </c>
      <c r="U16" s="12"/>
      <c r="V16" s="4">
        <v>12</v>
      </c>
      <c r="W16" s="140" t="s">
        <v>41</v>
      </c>
      <c r="X16" s="141" t="s">
        <v>34</v>
      </c>
      <c r="Y16" s="4">
        <f t="shared" si="5"/>
        <v>30</v>
      </c>
      <c r="Z16" s="3"/>
      <c r="AA16" s="4">
        <f t="shared" si="6"/>
        <v>0</v>
      </c>
      <c r="AB16">
        <v>30</v>
      </c>
    </row>
    <row r="17" spans="1:28" x14ac:dyDescent="0.25">
      <c r="A17" s="139">
        <v>13</v>
      </c>
      <c r="B17" s="140" t="s">
        <v>38</v>
      </c>
      <c r="C17" s="141" t="s">
        <v>37</v>
      </c>
      <c r="D17" s="139">
        <v>7</v>
      </c>
      <c r="E17" s="141"/>
      <c r="F17" s="139">
        <v>0</v>
      </c>
      <c r="G17" s="12"/>
      <c r="H17" s="4">
        <v>13</v>
      </c>
      <c r="I17" s="140" t="s">
        <v>38</v>
      </c>
      <c r="J17" s="141" t="s">
        <v>37</v>
      </c>
      <c r="K17" s="3"/>
      <c r="L17" s="3"/>
      <c r="M17" s="4">
        <f t="shared" si="3"/>
        <v>0</v>
      </c>
      <c r="N17" s="12"/>
      <c r="O17" s="4">
        <v>13</v>
      </c>
      <c r="P17" s="140" t="s">
        <v>38</v>
      </c>
      <c r="Q17" s="141" t="s">
        <v>37</v>
      </c>
      <c r="R17" s="3"/>
      <c r="S17" s="3"/>
      <c r="T17" s="4">
        <f t="shared" si="4"/>
        <v>0</v>
      </c>
      <c r="U17" s="12"/>
      <c r="V17" s="4">
        <v>13</v>
      </c>
      <c r="W17" s="140" t="s">
        <v>38</v>
      </c>
      <c r="X17" s="141" t="s">
        <v>37</v>
      </c>
      <c r="Y17" s="4">
        <f t="shared" si="5"/>
        <v>7</v>
      </c>
      <c r="Z17" s="3"/>
      <c r="AA17" s="4">
        <f t="shared" si="6"/>
        <v>0</v>
      </c>
      <c r="AB17">
        <v>7</v>
      </c>
    </row>
    <row r="18" spans="1:28" x14ac:dyDescent="0.25">
      <c r="A18" s="139">
        <v>14</v>
      </c>
      <c r="B18" s="140" t="s">
        <v>42</v>
      </c>
      <c r="C18" s="141" t="s">
        <v>37</v>
      </c>
      <c r="D18" s="139">
        <v>33</v>
      </c>
      <c r="E18" s="141"/>
      <c r="F18" s="139">
        <v>0</v>
      </c>
      <c r="G18" s="12"/>
      <c r="H18" s="4">
        <v>14</v>
      </c>
      <c r="I18" s="140" t="s">
        <v>42</v>
      </c>
      <c r="J18" s="141" t="s">
        <v>37</v>
      </c>
      <c r="K18" s="3"/>
      <c r="L18" s="3"/>
      <c r="M18" s="4">
        <f t="shared" si="3"/>
        <v>0</v>
      </c>
      <c r="N18" s="12"/>
      <c r="O18" s="4">
        <v>14</v>
      </c>
      <c r="P18" s="140" t="s">
        <v>42</v>
      </c>
      <c r="Q18" s="141" t="s">
        <v>37</v>
      </c>
      <c r="R18" s="3"/>
      <c r="S18" s="3"/>
      <c r="T18" s="4">
        <f t="shared" si="4"/>
        <v>0</v>
      </c>
      <c r="U18" s="12"/>
      <c r="V18" s="4">
        <v>14</v>
      </c>
      <c r="W18" s="140" t="s">
        <v>42</v>
      </c>
      <c r="X18" s="141" t="s">
        <v>37</v>
      </c>
      <c r="Y18" s="4">
        <f t="shared" si="5"/>
        <v>33</v>
      </c>
      <c r="Z18" s="3"/>
      <c r="AA18" s="4">
        <f t="shared" si="6"/>
        <v>0</v>
      </c>
      <c r="AB18">
        <v>33</v>
      </c>
    </row>
    <row r="19" spans="1:28" x14ac:dyDescent="0.25">
      <c r="A19" s="139">
        <v>15</v>
      </c>
      <c r="B19" s="140" t="s">
        <v>43</v>
      </c>
      <c r="C19" s="141" t="s">
        <v>37</v>
      </c>
      <c r="D19" s="139">
        <v>63</v>
      </c>
      <c r="E19" s="141"/>
      <c r="F19" s="139">
        <v>0</v>
      </c>
      <c r="G19" s="12"/>
      <c r="H19" s="4">
        <v>15</v>
      </c>
      <c r="I19" s="140" t="s">
        <v>43</v>
      </c>
      <c r="J19" s="141" t="s">
        <v>37</v>
      </c>
      <c r="K19" s="3"/>
      <c r="L19" s="3"/>
      <c r="M19" s="4">
        <f t="shared" si="3"/>
        <v>0</v>
      </c>
      <c r="N19" s="12"/>
      <c r="O19" s="4">
        <v>15</v>
      </c>
      <c r="P19" s="140" t="s">
        <v>43</v>
      </c>
      <c r="Q19" s="141" t="s">
        <v>37</v>
      </c>
      <c r="R19" s="3"/>
      <c r="S19" s="3"/>
      <c r="T19" s="4">
        <f t="shared" si="4"/>
        <v>0</v>
      </c>
      <c r="U19" s="12"/>
      <c r="V19" s="4">
        <v>15</v>
      </c>
      <c r="W19" s="140" t="s">
        <v>43</v>
      </c>
      <c r="X19" s="141" t="s">
        <v>37</v>
      </c>
      <c r="Y19" s="4">
        <f t="shared" si="5"/>
        <v>63</v>
      </c>
      <c r="Z19" s="3"/>
      <c r="AA19" s="4">
        <f t="shared" si="6"/>
        <v>0</v>
      </c>
      <c r="AB19">
        <v>63</v>
      </c>
    </row>
    <row r="20" spans="1:28" x14ac:dyDescent="0.25">
      <c r="A20" s="139">
        <v>16</v>
      </c>
      <c r="B20" s="140" t="s">
        <v>44</v>
      </c>
      <c r="C20" s="141" t="s">
        <v>37</v>
      </c>
      <c r="D20" s="139">
        <v>16</v>
      </c>
      <c r="E20" s="141"/>
      <c r="F20" s="139">
        <v>0</v>
      </c>
      <c r="G20" s="12"/>
      <c r="H20" s="4">
        <v>16</v>
      </c>
      <c r="I20" s="140" t="s">
        <v>44</v>
      </c>
      <c r="J20" s="141" t="s">
        <v>37</v>
      </c>
      <c r="K20" s="3"/>
      <c r="L20" s="3"/>
      <c r="M20" s="4">
        <f t="shared" si="3"/>
        <v>0</v>
      </c>
      <c r="N20" s="12"/>
      <c r="O20" s="4">
        <v>16</v>
      </c>
      <c r="P20" s="140" t="s">
        <v>44</v>
      </c>
      <c r="Q20" s="141" t="s">
        <v>37</v>
      </c>
      <c r="R20" s="3"/>
      <c r="S20" s="3"/>
      <c r="T20" s="4">
        <f t="shared" si="4"/>
        <v>0</v>
      </c>
      <c r="U20" s="12"/>
      <c r="V20" s="4">
        <v>16</v>
      </c>
      <c r="W20" s="140" t="s">
        <v>44</v>
      </c>
      <c r="X20" s="141" t="s">
        <v>37</v>
      </c>
      <c r="Y20" s="4">
        <f t="shared" si="5"/>
        <v>16</v>
      </c>
      <c r="Z20" s="3"/>
      <c r="AA20" s="4">
        <f t="shared" si="6"/>
        <v>0</v>
      </c>
      <c r="AB20">
        <v>16</v>
      </c>
    </row>
    <row r="21" spans="1:28" x14ac:dyDescent="0.25">
      <c r="A21" s="139">
        <v>17</v>
      </c>
      <c r="B21" s="140" t="s">
        <v>45</v>
      </c>
      <c r="C21" s="141" t="s">
        <v>37</v>
      </c>
      <c r="D21" s="139">
        <v>58</v>
      </c>
      <c r="E21" s="141"/>
      <c r="F21" s="139">
        <v>0</v>
      </c>
      <c r="G21" s="12"/>
      <c r="H21" s="4">
        <v>17</v>
      </c>
      <c r="I21" s="140" t="s">
        <v>45</v>
      </c>
      <c r="J21" s="141" t="s">
        <v>37</v>
      </c>
      <c r="K21" s="3"/>
      <c r="L21" s="3"/>
      <c r="M21" s="4">
        <f t="shared" si="3"/>
        <v>0</v>
      </c>
      <c r="N21" s="12"/>
      <c r="O21" s="4">
        <v>17</v>
      </c>
      <c r="P21" s="140" t="s">
        <v>45</v>
      </c>
      <c r="Q21" s="141" t="s">
        <v>37</v>
      </c>
      <c r="R21" s="3"/>
      <c r="S21" s="3"/>
      <c r="T21" s="4">
        <f t="shared" si="4"/>
        <v>0</v>
      </c>
      <c r="U21" s="12"/>
      <c r="V21" s="4">
        <v>17</v>
      </c>
      <c r="W21" s="140" t="s">
        <v>45</v>
      </c>
      <c r="X21" s="141" t="s">
        <v>37</v>
      </c>
      <c r="Y21" s="4">
        <f t="shared" si="5"/>
        <v>58</v>
      </c>
      <c r="Z21" s="3"/>
      <c r="AA21" s="4">
        <f t="shared" si="6"/>
        <v>0</v>
      </c>
      <c r="AB21">
        <v>58</v>
      </c>
    </row>
    <row r="22" spans="1:28" x14ac:dyDescent="0.25">
      <c r="A22" s="139">
        <v>18</v>
      </c>
      <c r="B22" s="140" t="s">
        <v>46</v>
      </c>
      <c r="C22" s="141" t="s">
        <v>37</v>
      </c>
      <c r="D22" s="139">
        <v>28</v>
      </c>
      <c r="E22" s="141"/>
      <c r="F22" s="139">
        <v>0</v>
      </c>
      <c r="G22" s="12"/>
      <c r="H22" s="4">
        <v>18</v>
      </c>
      <c r="I22" s="140" t="s">
        <v>46</v>
      </c>
      <c r="J22" s="141" t="s">
        <v>37</v>
      </c>
      <c r="K22" s="3"/>
      <c r="L22" s="3"/>
      <c r="M22" s="4">
        <f t="shared" si="3"/>
        <v>0</v>
      </c>
      <c r="N22" s="12"/>
      <c r="O22" s="4">
        <v>18</v>
      </c>
      <c r="P22" s="140" t="s">
        <v>46</v>
      </c>
      <c r="Q22" s="141" t="s">
        <v>37</v>
      </c>
      <c r="R22" s="3"/>
      <c r="S22" s="3"/>
      <c r="T22" s="4">
        <f t="shared" si="4"/>
        <v>0</v>
      </c>
      <c r="U22" s="12"/>
      <c r="V22" s="4">
        <v>18</v>
      </c>
      <c r="W22" s="140" t="s">
        <v>46</v>
      </c>
      <c r="X22" s="141" t="s">
        <v>37</v>
      </c>
      <c r="Y22" s="4">
        <f t="shared" si="5"/>
        <v>28</v>
      </c>
      <c r="Z22" s="3"/>
      <c r="AA22" s="4">
        <f t="shared" si="6"/>
        <v>0</v>
      </c>
      <c r="AB22">
        <v>28</v>
      </c>
    </row>
    <row r="23" spans="1:28" x14ac:dyDescent="0.25">
      <c r="A23" s="139">
        <v>19</v>
      </c>
      <c r="B23" s="140" t="s">
        <v>47</v>
      </c>
      <c r="C23" s="141" t="s">
        <v>35</v>
      </c>
      <c r="D23" s="139">
        <v>213</v>
      </c>
      <c r="E23" s="141"/>
      <c r="F23" s="139">
        <v>0</v>
      </c>
      <c r="G23" s="12"/>
      <c r="H23" s="4">
        <v>19</v>
      </c>
      <c r="I23" s="140" t="s">
        <v>47</v>
      </c>
      <c r="J23" s="141" t="s">
        <v>35</v>
      </c>
      <c r="K23" s="3"/>
      <c r="L23" s="3"/>
      <c r="M23" s="4">
        <f t="shared" si="3"/>
        <v>0</v>
      </c>
      <c r="N23" s="12"/>
      <c r="O23" s="4">
        <v>19</v>
      </c>
      <c r="P23" s="140" t="s">
        <v>47</v>
      </c>
      <c r="Q23" s="141" t="s">
        <v>35</v>
      </c>
      <c r="R23" s="3"/>
      <c r="S23" s="3"/>
      <c r="T23" s="4">
        <f t="shared" si="4"/>
        <v>0</v>
      </c>
      <c r="U23" s="12"/>
      <c r="V23" s="4">
        <v>19</v>
      </c>
      <c r="W23" s="140" t="s">
        <v>47</v>
      </c>
      <c r="X23" s="141" t="s">
        <v>35</v>
      </c>
      <c r="Y23" s="4">
        <f t="shared" si="5"/>
        <v>213</v>
      </c>
      <c r="Z23" s="3"/>
      <c r="AA23" s="4">
        <f t="shared" si="6"/>
        <v>0</v>
      </c>
      <c r="AB23">
        <v>213</v>
      </c>
    </row>
    <row r="24" spans="1:28" x14ac:dyDescent="0.25">
      <c r="A24" s="139">
        <v>20</v>
      </c>
      <c r="B24" s="140" t="s">
        <v>48</v>
      </c>
      <c r="C24" s="141" t="s">
        <v>35</v>
      </c>
      <c r="D24" s="139">
        <v>464</v>
      </c>
      <c r="E24" s="141"/>
      <c r="F24" s="139">
        <v>0</v>
      </c>
      <c r="G24" s="12"/>
      <c r="H24" s="4">
        <v>20</v>
      </c>
      <c r="I24" s="140" t="s">
        <v>48</v>
      </c>
      <c r="J24" s="141" t="s">
        <v>35</v>
      </c>
      <c r="K24" s="3"/>
      <c r="L24" s="3"/>
      <c r="M24" s="4">
        <f t="shared" si="3"/>
        <v>0</v>
      </c>
      <c r="N24" s="12"/>
      <c r="O24" s="4">
        <v>20</v>
      </c>
      <c r="P24" s="140" t="s">
        <v>48</v>
      </c>
      <c r="Q24" s="141" t="s">
        <v>35</v>
      </c>
      <c r="R24" s="3"/>
      <c r="S24" s="3"/>
      <c r="T24" s="4">
        <f t="shared" si="4"/>
        <v>0</v>
      </c>
      <c r="U24" s="12"/>
      <c r="V24" s="4">
        <v>20</v>
      </c>
      <c r="W24" s="140" t="s">
        <v>48</v>
      </c>
      <c r="X24" s="141" t="s">
        <v>35</v>
      </c>
      <c r="Y24" s="4">
        <f t="shared" si="5"/>
        <v>464</v>
      </c>
      <c r="Z24" s="3"/>
      <c r="AA24" s="4">
        <f t="shared" si="6"/>
        <v>0</v>
      </c>
      <c r="AB24">
        <v>464</v>
      </c>
    </row>
    <row r="25" spans="1:28" x14ac:dyDescent="0.25">
      <c r="A25" s="139">
        <v>21</v>
      </c>
      <c r="B25" s="140" t="s">
        <v>49</v>
      </c>
      <c r="C25" s="141" t="s">
        <v>37</v>
      </c>
      <c r="D25" s="139">
        <v>500</v>
      </c>
      <c r="E25" s="141"/>
      <c r="F25" s="139">
        <v>0</v>
      </c>
      <c r="G25" s="12"/>
      <c r="H25" s="4">
        <v>21</v>
      </c>
      <c r="I25" s="140" t="s">
        <v>49</v>
      </c>
      <c r="J25" s="141" t="s">
        <v>37</v>
      </c>
      <c r="K25" s="3"/>
      <c r="L25" s="3"/>
      <c r="M25" s="4">
        <f t="shared" si="3"/>
        <v>0</v>
      </c>
      <c r="N25" s="12"/>
      <c r="O25" s="4">
        <v>21</v>
      </c>
      <c r="P25" s="140" t="s">
        <v>49</v>
      </c>
      <c r="Q25" s="141" t="s">
        <v>37</v>
      </c>
      <c r="R25" s="3"/>
      <c r="S25" s="3"/>
      <c r="T25" s="4">
        <f t="shared" si="4"/>
        <v>0</v>
      </c>
      <c r="U25" s="12"/>
      <c r="V25" s="4">
        <v>21</v>
      </c>
      <c r="W25" s="140" t="s">
        <v>49</v>
      </c>
      <c r="X25" s="141" t="s">
        <v>37</v>
      </c>
      <c r="Y25" s="4">
        <f t="shared" si="5"/>
        <v>500</v>
      </c>
      <c r="Z25" s="3"/>
      <c r="AA25" s="4">
        <f t="shared" si="6"/>
        <v>0</v>
      </c>
      <c r="AB25">
        <v>500</v>
      </c>
    </row>
    <row r="26" spans="1:28" x14ac:dyDescent="0.25">
      <c r="A26" s="139">
        <v>22</v>
      </c>
      <c r="B26" s="140" t="s">
        <v>50</v>
      </c>
      <c r="C26" s="141" t="s">
        <v>37</v>
      </c>
      <c r="D26" s="139">
        <v>20</v>
      </c>
      <c r="E26" s="141"/>
      <c r="F26" s="139">
        <v>0</v>
      </c>
      <c r="G26" s="12"/>
      <c r="H26" s="4">
        <v>22</v>
      </c>
      <c r="I26" s="140" t="s">
        <v>50</v>
      </c>
      <c r="J26" s="141" t="s">
        <v>37</v>
      </c>
      <c r="K26" s="3"/>
      <c r="L26" s="3"/>
      <c r="M26" s="4">
        <f t="shared" si="3"/>
        <v>0</v>
      </c>
      <c r="N26" s="12"/>
      <c r="O26" s="4">
        <v>22</v>
      </c>
      <c r="P26" s="140" t="s">
        <v>50</v>
      </c>
      <c r="Q26" s="141" t="s">
        <v>37</v>
      </c>
      <c r="R26" s="3"/>
      <c r="S26" s="3"/>
      <c r="T26" s="4">
        <f t="shared" si="4"/>
        <v>0</v>
      </c>
      <c r="U26" s="12"/>
      <c r="V26" s="4">
        <v>22</v>
      </c>
      <c r="W26" s="140" t="s">
        <v>50</v>
      </c>
      <c r="X26" s="141" t="s">
        <v>37</v>
      </c>
      <c r="Y26" s="4">
        <f t="shared" si="5"/>
        <v>20</v>
      </c>
      <c r="Z26" s="3"/>
      <c r="AA26" s="4">
        <f t="shared" si="6"/>
        <v>0</v>
      </c>
      <c r="AB26">
        <v>20</v>
      </c>
    </row>
    <row r="27" spans="1:28" x14ac:dyDescent="0.25">
      <c r="A27" s="139">
        <v>23</v>
      </c>
      <c r="B27" s="140" t="s">
        <v>51</v>
      </c>
      <c r="C27" s="141" t="s">
        <v>37</v>
      </c>
      <c r="D27" s="139">
        <v>150</v>
      </c>
      <c r="E27" s="141"/>
      <c r="F27" s="139">
        <v>0</v>
      </c>
      <c r="G27" s="12"/>
      <c r="H27" s="4">
        <v>23</v>
      </c>
      <c r="I27" s="140" t="s">
        <v>51</v>
      </c>
      <c r="J27" s="141" t="s">
        <v>37</v>
      </c>
      <c r="K27" s="3"/>
      <c r="L27" s="3"/>
      <c r="M27" s="4">
        <f t="shared" si="3"/>
        <v>0</v>
      </c>
      <c r="N27" s="12"/>
      <c r="O27" s="4">
        <v>23</v>
      </c>
      <c r="P27" s="140" t="s">
        <v>51</v>
      </c>
      <c r="Q27" s="141" t="s">
        <v>37</v>
      </c>
      <c r="R27" s="3"/>
      <c r="S27" s="3"/>
      <c r="T27" s="4">
        <f t="shared" si="4"/>
        <v>0</v>
      </c>
      <c r="U27" s="12"/>
      <c r="V27" s="4">
        <v>23</v>
      </c>
      <c r="W27" s="140" t="s">
        <v>51</v>
      </c>
      <c r="X27" s="141" t="s">
        <v>37</v>
      </c>
      <c r="Y27" s="4">
        <f t="shared" si="5"/>
        <v>150</v>
      </c>
      <c r="Z27" s="3"/>
      <c r="AA27" s="4">
        <f t="shared" si="6"/>
        <v>0</v>
      </c>
      <c r="AB27">
        <v>150</v>
      </c>
    </row>
    <row r="28" spans="1:28" x14ac:dyDescent="0.25">
      <c r="A28" s="139">
        <v>24</v>
      </c>
      <c r="B28" s="140" t="s">
        <v>52</v>
      </c>
      <c r="C28" s="141" t="s">
        <v>56</v>
      </c>
      <c r="D28" s="139">
        <v>200</v>
      </c>
      <c r="E28" s="141"/>
      <c r="F28" s="139">
        <v>0</v>
      </c>
      <c r="G28" s="12"/>
      <c r="H28" s="4">
        <v>24</v>
      </c>
      <c r="I28" s="140" t="s">
        <v>52</v>
      </c>
      <c r="J28" s="141" t="s">
        <v>56</v>
      </c>
      <c r="K28" s="3"/>
      <c r="L28" s="3"/>
      <c r="M28" s="4">
        <f t="shared" si="3"/>
        <v>0</v>
      </c>
      <c r="N28" s="12"/>
      <c r="O28" s="4">
        <v>24</v>
      </c>
      <c r="P28" s="140" t="s">
        <v>52</v>
      </c>
      <c r="Q28" s="141" t="s">
        <v>56</v>
      </c>
      <c r="R28" s="3"/>
      <c r="S28" s="3"/>
      <c r="T28" s="4">
        <f t="shared" si="4"/>
        <v>0</v>
      </c>
      <c r="U28" s="12"/>
      <c r="V28" s="4">
        <v>24</v>
      </c>
      <c r="W28" s="140" t="s">
        <v>52</v>
      </c>
      <c r="X28" s="141" t="s">
        <v>56</v>
      </c>
      <c r="Y28" s="4">
        <f t="shared" si="5"/>
        <v>200</v>
      </c>
      <c r="Z28" s="3"/>
      <c r="AA28" s="4">
        <f t="shared" si="6"/>
        <v>0</v>
      </c>
      <c r="AB28">
        <v>200</v>
      </c>
    </row>
    <row r="29" spans="1:28" x14ac:dyDescent="0.25">
      <c r="A29" s="139">
        <v>25</v>
      </c>
      <c r="B29" s="140" t="s">
        <v>53</v>
      </c>
      <c r="C29" s="141" t="s">
        <v>56</v>
      </c>
      <c r="D29" s="139">
        <v>300</v>
      </c>
      <c r="E29" s="141"/>
      <c r="F29" s="139">
        <v>0</v>
      </c>
      <c r="G29" s="12"/>
      <c r="H29" s="4">
        <v>25</v>
      </c>
      <c r="I29" s="140" t="s">
        <v>53</v>
      </c>
      <c r="J29" s="141" t="s">
        <v>56</v>
      </c>
      <c r="K29" s="3"/>
      <c r="L29" s="3"/>
      <c r="M29" s="4">
        <f t="shared" si="3"/>
        <v>0</v>
      </c>
      <c r="N29" s="12"/>
      <c r="O29" s="4">
        <v>25</v>
      </c>
      <c r="P29" s="140" t="s">
        <v>53</v>
      </c>
      <c r="Q29" s="141" t="s">
        <v>56</v>
      </c>
      <c r="R29" s="3"/>
      <c r="S29" s="3"/>
      <c r="T29" s="4">
        <f t="shared" si="4"/>
        <v>0</v>
      </c>
      <c r="U29" s="12"/>
      <c r="V29" s="4">
        <v>25</v>
      </c>
      <c r="W29" s="140" t="s">
        <v>53</v>
      </c>
      <c r="X29" s="141" t="s">
        <v>56</v>
      </c>
      <c r="Y29" s="4">
        <f t="shared" si="5"/>
        <v>300</v>
      </c>
      <c r="Z29" s="3"/>
      <c r="AA29" s="4">
        <f t="shared" si="6"/>
        <v>0</v>
      </c>
      <c r="AB29">
        <v>300</v>
      </c>
    </row>
    <row r="30" spans="1:28" x14ac:dyDescent="0.25">
      <c r="A30" s="139">
        <v>26</v>
      </c>
      <c r="B30" s="140" t="s">
        <v>54</v>
      </c>
      <c r="C30" s="141" t="s">
        <v>37</v>
      </c>
      <c r="D30" s="139">
        <v>11</v>
      </c>
      <c r="E30" s="141"/>
      <c r="F30" s="139">
        <v>0</v>
      </c>
      <c r="G30" s="12"/>
      <c r="H30" s="4">
        <v>26</v>
      </c>
      <c r="I30" s="140" t="s">
        <v>54</v>
      </c>
      <c r="J30" s="141" t="s">
        <v>37</v>
      </c>
      <c r="K30" s="3"/>
      <c r="L30" s="3"/>
      <c r="M30" s="4">
        <f t="shared" si="3"/>
        <v>0</v>
      </c>
      <c r="N30" s="12"/>
      <c r="O30" s="4">
        <v>26</v>
      </c>
      <c r="P30" s="140" t="s">
        <v>54</v>
      </c>
      <c r="Q30" s="141" t="s">
        <v>37</v>
      </c>
      <c r="R30" s="3"/>
      <c r="S30" s="3"/>
      <c r="T30" s="4">
        <f t="shared" si="4"/>
        <v>0</v>
      </c>
      <c r="U30" s="12"/>
      <c r="V30" s="4">
        <v>26</v>
      </c>
      <c r="W30" s="140" t="s">
        <v>54</v>
      </c>
      <c r="X30" s="141" t="s">
        <v>37</v>
      </c>
      <c r="Y30" s="4">
        <f t="shared" si="5"/>
        <v>11</v>
      </c>
      <c r="Z30" s="3"/>
      <c r="AA30" s="4">
        <f t="shared" si="6"/>
        <v>0</v>
      </c>
      <c r="AB30">
        <v>11</v>
      </c>
    </row>
    <row r="31" spans="1:28" x14ac:dyDescent="0.25">
      <c r="A31" s="139">
        <v>27</v>
      </c>
      <c r="B31" s="140" t="s">
        <v>55</v>
      </c>
      <c r="C31" s="141" t="s">
        <v>56</v>
      </c>
      <c r="D31" s="139">
        <v>70</v>
      </c>
      <c r="E31" s="141"/>
      <c r="F31" s="139">
        <v>0</v>
      </c>
      <c r="G31" s="12"/>
      <c r="H31" s="4">
        <v>27</v>
      </c>
      <c r="I31" s="140" t="s">
        <v>55</v>
      </c>
      <c r="J31" s="141" t="s">
        <v>56</v>
      </c>
      <c r="K31" s="3"/>
      <c r="L31" s="3"/>
      <c r="M31" s="4">
        <f t="shared" si="3"/>
        <v>0</v>
      </c>
      <c r="N31" s="12"/>
      <c r="O31" s="4">
        <v>27</v>
      </c>
      <c r="P31" s="140" t="s">
        <v>55</v>
      </c>
      <c r="Q31" s="141" t="s">
        <v>56</v>
      </c>
      <c r="R31" s="3"/>
      <c r="S31" s="3"/>
      <c r="T31" s="4">
        <f t="shared" si="4"/>
        <v>0</v>
      </c>
      <c r="U31" s="12"/>
      <c r="V31" s="4">
        <v>27</v>
      </c>
      <c r="W31" s="140" t="s">
        <v>55</v>
      </c>
      <c r="X31" s="141" t="s">
        <v>56</v>
      </c>
      <c r="Y31" s="4">
        <f t="shared" si="5"/>
        <v>70</v>
      </c>
      <c r="Z31" s="3"/>
      <c r="AA31" s="4">
        <f t="shared" si="6"/>
        <v>0</v>
      </c>
      <c r="AB31">
        <v>70</v>
      </c>
    </row>
    <row r="32" spans="1:28" x14ac:dyDescent="0.25">
      <c r="A32" s="139">
        <v>28</v>
      </c>
      <c r="B32" s="141" t="s">
        <v>77</v>
      </c>
      <c r="C32" s="141" t="s">
        <v>34</v>
      </c>
      <c r="D32" s="139">
        <v>11849.2</v>
      </c>
      <c r="E32" s="141"/>
      <c r="F32" s="139">
        <v>0</v>
      </c>
      <c r="G32" s="12"/>
      <c r="H32" s="4">
        <v>28</v>
      </c>
      <c r="I32" s="141" t="s">
        <v>77</v>
      </c>
      <c r="J32" s="141" t="s">
        <v>34</v>
      </c>
      <c r="K32" s="3">
        <f>784</f>
        <v>784</v>
      </c>
      <c r="L32" s="3">
        <v>2</v>
      </c>
      <c r="M32" s="4">
        <f>K32*L32</f>
        <v>1568</v>
      </c>
      <c r="N32" s="12"/>
      <c r="O32" s="4">
        <v>28</v>
      </c>
      <c r="P32" s="141" t="s">
        <v>77</v>
      </c>
      <c r="Q32" s="141" t="s">
        <v>34</v>
      </c>
      <c r="R32" s="3">
        <v>1340</v>
      </c>
      <c r="S32" s="3">
        <v>2.6</v>
      </c>
      <c r="T32" s="4">
        <f t="shared" si="4"/>
        <v>3484</v>
      </c>
      <c r="U32" s="12"/>
      <c r="V32" s="4">
        <v>28</v>
      </c>
      <c r="W32" s="141" t="s">
        <v>77</v>
      </c>
      <c r="X32" s="141" t="s">
        <v>34</v>
      </c>
      <c r="Y32" s="4">
        <f t="shared" si="5"/>
        <v>11293.2</v>
      </c>
      <c r="Z32" s="3"/>
      <c r="AA32" s="4">
        <f t="shared" si="6"/>
        <v>0</v>
      </c>
      <c r="AB32">
        <v>12633.2</v>
      </c>
    </row>
    <row r="33" spans="1:27" x14ac:dyDescent="0.25">
      <c r="A33" s="139">
        <v>29</v>
      </c>
      <c r="B33" s="141"/>
      <c r="C33" s="141"/>
      <c r="D33" s="139">
        <v>0</v>
      </c>
      <c r="E33" s="141"/>
      <c r="F33" s="139">
        <v>0</v>
      </c>
      <c r="G33" s="12"/>
      <c r="H33" s="4">
        <v>29</v>
      </c>
      <c r="I33" s="3"/>
      <c r="J33" s="3"/>
      <c r="K33" s="3"/>
      <c r="L33" s="3"/>
      <c r="M33" s="4">
        <f t="shared" ref="M33:M50" si="7">K33*L33</f>
        <v>0</v>
      </c>
      <c r="N33" s="12"/>
      <c r="O33" s="4">
        <v>29</v>
      </c>
      <c r="P33" s="3"/>
      <c r="Q33" s="3"/>
      <c r="R33" s="3"/>
      <c r="S33" s="3"/>
      <c r="T33" s="4">
        <f t="shared" ref="T33:T50" si="8">R33*S33</f>
        <v>0</v>
      </c>
      <c r="U33" s="12"/>
      <c r="V33" s="4">
        <v>29</v>
      </c>
      <c r="W33" s="3"/>
      <c r="X33" s="3"/>
      <c r="Y33" s="4">
        <f t="shared" ref="Y33:Y50" si="9">D33+K33-R33</f>
        <v>0</v>
      </c>
      <c r="Z33" s="3"/>
      <c r="AA33" s="4">
        <f t="shared" ref="AA33:AA50" si="10">Y33*Z33</f>
        <v>0</v>
      </c>
    </row>
    <row r="34" spans="1:27" x14ac:dyDescent="0.25">
      <c r="A34" s="139">
        <v>30</v>
      </c>
      <c r="B34" s="141"/>
      <c r="C34" s="141"/>
      <c r="D34" s="139">
        <v>0</v>
      </c>
      <c r="E34" s="141"/>
      <c r="F34" s="139">
        <v>0</v>
      </c>
      <c r="G34" s="12"/>
      <c r="H34" s="4">
        <v>30</v>
      </c>
      <c r="I34" s="3"/>
      <c r="J34" s="3"/>
      <c r="K34" s="3"/>
      <c r="L34" s="3"/>
      <c r="M34" s="4">
        <f t="shared" si="7"/>
        <v>0</v>
      </c>
      <c r="N34" s="12"/>
      <c r="O34" s="4">
        <v>30</v>
      </c>
      <c r="P34" s="3"/>
      <c r="Q34" s="3"/>
      <c r="R34" s="3"/>
      <c r="S34" s="3"/>
      <c r="T34" s="4">
        <f t="shared" si="8"/>
        <v>0</v>
      </c>
      <c r="U34" s="12"/>
      <c r="V34" s="4">
        <v>30</v>
      </c>
      <c r="W34" s="3"/>
      <c r="X34" s="3"/>
      <c r="Y34" s="4">
        <f t="shared" si="9"/>
        <v>0</v>
      </c>
      <c r="Z34" s="3"/>
      <c r="AA34" s="4">
        <f t="shared" si="10"/>
        <v>0</v>
      </c>
    </row>
    <row r="35" spans="1:27" x14ac:dyDescent="0.25">
      <c r="A35" s="139">
        <v>31</v>
      </c>
      <c r="B35" s="141"/>
      <c r="C35" s="141"/>
      <c r="D35" s="139">
        <v>0</v>
      </c>
      <c r="E35" s="141"/>
      <c r="F35" s="139">
        <v>0</v>
      </c>
      <c r="G35" s="12"/>
      <c r="H35" s="4">
        <v>31</v>
      </c>
      <c r="I35" s="3"/>
      <c r="J35" s="3"/>
      <c r="K35" s="3"/>
      <c r="L35" s="3"/>
      <c r="M35" s="4">
        <f t="shared" si="7"/>
        <v>0</v>
      </c>
      <c r="N35" s="12"/>
      <c r="O35" s="4">
        <v>31</v>
      </c>
      <c r="P35" s="3"/>
      <c r="Q35" s="3"/>
      <c r="R35" s="3"/>
      <c r="S35" s="3"/>
      <c r="T35" s="4">
        <f t="shared" si="8"/>
        <v>0</v>
      </c>
      <c r="U35" s="12"/>
      <c r="V35" s="4">
        <v>31</v>
      </c>
      <c r="W35" s="3"/>
      <c r="X35" s="3"/>
      <c r="Y35" s="4">
        <f t="shared" si="9"/>
        <v>0</v>
      </c>
      <c r="Z35" s="3"/>
      <c r="AA35" s="4">
        <f t="shared" si="10"/>
        <v>0</v>
      </c>
    </row>
    <row r="36" spans="1:27" x14ac:dyDescent="0.25">
      <c r="A36" s="139">
        <v>32</v>
      </c>
      <c r="B36" s="141"/>
      <c r="C36" s="141"/>
      <c r="D36" s="139">
        <v>0</v>
      </c>
      <c r="E36" s="141"/>
      <c r="F36" s="139">
        <v>0</v>
      </c>
      <c r="G36" s="12"/>
      <c r="H36" s="4">
        <v>32</v>
      </c>
      <c r="I36" s="3"/>
      <c r="J36" s="3"/>
      <c r="K36" s="3"/>
      <c r="L36" s="3"/>
      <c r="M36" s="4">
        <f t="shared" si="7"/>
        <v>0</v>
      </c>
      <c r="N36" s="12"/>
      <c r="O36" s="4">
        <v>32</v>
      </c>
      <c r="P36" s="3"/>
      <c r="Q36" s="3"/>
      <c r="R36" s="3"/>
      <c r="S36" s="3"/>
      <c r="T36" s="4">
        <f t="shared" si="8"/>
        <v>0</v>
      </c>
      <c r="U36" s="12"/>
      <c r="V36" s="4">
        <v>32</v>
      </c>
      <c r="W36" s="3"/>
      <c r="X36" s="3"/>
      <c r="Y36" s="4">
        <f t="shared" si="9"/>
        <v>0</v>
      </c>
      <c r="Z36" s="3"/>
      <c r="AA36" s="4">
        <f t="shared" si="10"/>
        <v>0</v>
      </c>
    </row>
    <row r="37" spans="1:27" x14ac:dyDescent="0.25">
      <c r="A37" s="139">
        <v>33</v>
      </c>
      <c r="B37" s="141"/>
      <c r="C37" s="141"/>
      <c r="D37" s="139">
        <v>0</v>
      </c>
      <c r="E37" s="141"/>
      <c r="F37" s="139">
        <v>0</v>
      </c>
      <c r="G37" s="12"/>
      <c r="H37" s="4">
        <v>33</v>
      </c>
      <c r="I37" s="3"/>
      <c r="J37" s="3"/>
      <c r="K37" s="3"/>
      <c r="L37" s="3"/>
      <c r="M37" s="4">
        <f t="shared" si="7"/>
        <v>0</v>
      </c>
      <c r="N37" s="12"/>
      <c r="O37" s="4">
        <v>33</v>
      </c>
      <c r="P37" s="3"/>
      <c r="Q37" s="3"/>
      <c r="R37" s="3"/>
      <c r="S37" s="3"/>
      <c r="T37" s="4">
        <f t="shared" si="8"/>
        <v>0</v>
      </c>
      <c r="U37" s="12"/>
      <c r="V37" s="4">
        <v>33</v>
      </c>
      <c r="W37" s="3"/>
      <c r="X37" s="3"/>
      <c r="Y37" s="4">
        <f t="shared" si="9"/>
        <v>0</v>
      </c>
      <c r="Z37" s="3"/>
      <c r="AA37" s="4">
        <f t="shared" si="10"/>
        <v>0</v>
      </c>
    </row>
    <row r="38" spans="1:27" x14ac:dyDescent="0.25">
      <c r="A38" s="139">
        <v>34</v>
      </c>
      <c r="B38" s="141"/>
      <c r="C38" s="141"/>
      <c r="D38" s="139">
        <v>0</v>
      </c>
      <c r="E38" s="141"/>
      <c r="F38" s="139">
        <v>0</v>
      </c>
      <c r="G38" s="12"/>
      <c r="H38" s="4">
        <v>34</v>
      </c>
      <c r="I38" s="3"/>
      <c r="J38" s="3"/>
      <c r="K38" s="3"/>
      <c r="L38" s="3"/>
      <c r="M38" s="4">
        <f t="shared" si="7"/>
        <v>0</v>
      </c>
      <c r="N38" s="12"/>
      <c r="O38" s="4">
        <v>34</v>
      </c>
      <c r="P38" s="3"/>
      <c r="Q38" s="3"/>
      <c r="R38" s="3"/>
      <c r="S38" s="3"/>
      <c r="T38" s="4">
        <f t="shared" si="8"/>
        <v>0</v>
      </c>
      <c r="U38" s="12"/>
      <c r="V38" s="4">
        <v>34</v>
      </c>
      <c r="W38" s="3"/>
      <c r="X38" s="3"/>
      <c r="Y38" s="4">
        <f t="shared" si="9"/>
        <v>0</v>
      </c>
      <c r="Z38" s="3"/>
      <c r="AA38" s="4">
        <f t="shared" si="10"/>
        <v>0</v>
      </c>
    </row>
    <row r="39" spans="1:27" x14ac:dyDescent="0.25">
      <c r="A39" s="139">
        <v>35</v>
      </c>
      <c r="B39" s="141"/>
      <c r="C39" s="141"/>
      <c r="D39" s="139">
        <v>0</v>
      </c>
      <c r="E39" s="141"/>
      <c r="F39" s="139">
        <v>0</v>
      </c>
      <c r="G39" s="12"/>
      <c r="H39" s="4">
        <v>35</v>
      </c>
      <c r="I39" s="3"/>
      <c r="J39" s="3"/>
      <c r="K39" s="3"/>
      <c r="L39" s="3"/>
      <c r="M39" s="4">
        <f t="shared" si="7"/>
        <v>0</v>
      </c>
      <c r="N39" s="12"/>
      <c r="O39" s="4">
        <v>35</v>
      </c>
      <c r="P39" s="3"/>
      <c r="Q39" s="3"/>
      <c r="R39" s="3"/>
      <c r="S39" s="3"/>
      <c r="T39" s="4">
        <f t="shared" si="8"/>
        <v>0</v>
      </c>
      <c r="U39" s="12"/>
      <c r="V39" s="4">
        <v>35</v>
      </c>
      <c r="W39" s="3"/>
      <c r="X39" s="3"/>
      <c r="Y39" s="4">
        <f t="shared" si="9"/>
        <v>0</v>
      </c>
      <c r="Z39" s="3"/>
      <c r="AA39" s="4">
        <f t="shared" si="10"/>
        <v>0</v>
      </c>
    </row>
    <row r="40" spans="1:27" x14ac:dyDescent="0.25">
      <c r="A40" s="139">
        <v>36</v>
      </c>
      <c r="B40" s="141"/>
      <c r="C40" s="141"/>
      <c r="D40" s="139">
        <v>0</v>
      </c>
      <c r="E40" s="141"/>
      <c r="F40" s="139">
        <v>0</v>
      </c>
      <c r="G40" s="12"/>
      <c r="H40" s="4">
        <v>36</v>
      </c>
      <c r="I40" s="3"/>
      <c r="J40" s="3"/>
      <c r="K40" s="3"/>
      <c r="L40" s="3"/>
      <c r="M40" s="4">
        <f t="shared" si="7"/>
        <v>0</v>
      </c>
      <c r="N40" s="12"/>
      <c r="O40" s="4">
        <v>36</v>
      </c>
      <c r="P40" s="3"/>
      <c r="Q40" s="3"/>
      <c r="R40" s="3"/>
      <c r="S40" s="3"/>
      <c r="T40" s="4">
        <f t="shared" si="8"/>
        <v>0</v>
      </c>
      <c r="U40" s="12"/>
      <c r="V40" s="4">
        <v>36</v>
      </c>
      <c r="W40" s="3"/>
      <c r="X40" s="3"/>
      <c r="Y40" s="4">
        <f t="shared" si="9"/>
        <v>0</v>
      </c>
      <c r="Z40" s="3"/>
      <c r="AA40" s="4">
        <f t="shared" si="10"/>
        <v>0</v>
      </c>
    </row>
    <row r="41" spans="1:27" x14ac:dyDescent="0.25">
      <c r="A41" s="139">
        <v>37</v>
      </c>
      <c r="B41" s="141"/>
      <c r="C41" s="141"/>
      <c r="D41" s="139">
        <v>0</v>
      </c>
      <c r="E41" s="141"/>
      <c r="F41" s="139">
        <v>0</v>
      </c>
      <c r="G41" s="12"/>
      <c r="H41" s="4">
        <v>37</v>
      </c>
      <c r="I41" s="3"/>
      <c r="J41" s="3"/>
      <c r="K41" s="3"/>
      <c r="L41" s="3"/>
      <c r="M41" s="4">
        <f t="shared" si="7"/>
        <v>0</v>
      </c>
      <c r="N41" s="12"/>
      <c r="O41" s="4">
        <v>37</v>
      </c>
      <c r="P41" s="3"/>
      <c r="Q41" s="3"/>
      <c r="R41" s="3"/>
      <c r="S41" s="3"/>
      <c r="T41" s="4">
        <f t="shared" si="8"/>
        <v>0</v>
      </c>
      <c r="U41" s="12"/>
      <c r="V41" s="4">
        <v>37</v>
      </c>
      <c r="W41" s="3"/>
      <c r="X41" s="3"/>
      <c r="Y41" s="4">
        <f t="shared" si="9"/>
        <v>0</v>
      </c>
      <c r="Z41" s="3"/>
      <c r="AA41" s="4">
        <f t="shared" si="10"/>
        <v>0</v>
      </c>
    </row>
    <row r="42" spans="1:27" x14ac:dyDescent="0.25">
      <c r="A42" s="139">
        <v>38</v>
      </c>
      <c r="B42" s="141"/>
      <c r="C42" s="141"/>
      <c r="D42" s="139">
        <v>0</v>
      </c>
      <c r="E42" s="141"/>
      <c r="F42" s="139">
        <v>0</v>
      </c>
      <c r="G42" s="12"/>
      <c r="H42" s="4">
        <v>38</v>
      </c>
      <c r="I42" s="3"/>
      <c r="J42" s="3"/>
      <c r="K42" s="3"/>
      <c r="L42" s="3"/>
      <c r="M42" s="4">
        <f t="shared" si="7"/>
        <v>0</v>
      </c>
      <c r="N42" s="12"/>
      <c r="O42" s="4">
        <v>38</v>
      </c>
      <c r="P42" s="3"/>
      <c r="Q42" s="3"/>
      <c r="R42" s="3"/>
      <c r="S42" s="3"/>
      <c r="T42" s="4">
        <f t="shared" si="8"/>
        <v>0</v>
      </c>
      <c r="U42" s="12"/>
      <c r="V42" s="4">
        <v>38</v>
      </c>
      <c r="W42" s="3"/>
      <c r="X42" s="3"/>
      <c r="Y42" s="4">
        <f t="shared" si="9"/>
        <v>0</v>
      </c>
      <c r="Z42" s="3"/>
      <c r="AA42" s="4">
        <f t="shared" si="10"/>
        <v>0</v>
      </c>
    </row>
    <row r="43" spans="1:27" x14ac:dyDescent="0.25">
      <c r="A43" s="139">
        <v>39</v>
      </c>
      <c r="B43" s="141"/>
      <c r="C43" s="141"/>
      <c r="D43" s="139">
        <v>0</v>
      </c>
      <c r="E43" s="141"/>
      <c r="F43" s="139">
        <v>0</v>
      </c>
      <c r="G43" s="12"/>
      <c r="H43" s="4">
        <v>39</v>
      </c>
      <c r="I43" s="3"/>
      <c r="J43" s="3"/>
      <c r="K43" s="3"/>
      <c r="L43" s="3"/>
      <c r="M43" s="4">
        <f t="shared" si="7"/>
        <v>0</v>
      </c>
      <c r="N43" s="12"/>
      <c r="O43" s="4">
        <v>39</v>
      </c>
      <c r="P43" s="3"/>
      <c r="Q43" s="3"/>
      <c r="R43" s="3"/>
      <c r="S43" s="3"/>
      <c r="T43" s="4">
        <f t="shared" si="8"/>
        <v>0</v>
      </c>
      <c r="U43" s="12"/>
      <c r="V43" s="4">
        <v>39</v>
      </c>
      <c r="W43" s="3"/>
      <c r="X43" s="3"/>
      <c r="Y43" s="4">
        <f t="shared" si="9"/>
        <v>0</v>
      </c>
      <c r="Z43" s="3"/>
      <c r="AA43" s="4">
        <f t="shared" si="10"/>
        <v>0</v>
      </c>
    </row>
    <row r="44" spans="1:27" x14ac:dyDescent="0.25">
      <c r="A44" s="139">
        <v>40</v>
      </c>
      <c r="B44" s="141"/>
      <c r="C44" s="141"/>
      <c r="D44" s="139">
        <v>0</v>
      </c>
      <c r="E44" s="141"/>
      <c r="F44" s="139">
        <v>0</v>
      </c>
      <c r="G44" s="12"/>
      <c r="H44" s="4">
        <v>40</v>
      </c>
      <c r="I44" s="3"/>
      <c r="J44" s="3"/>
      <c r="K44" s="3"/>
      <c r="L44" s="3"/>
      <c r="M44" s="4">
        <f t="shared" si="7"/>
        <v>0</v>
      </c>
      <c r="N44" s="12"/>
      <c r="O44" s="4">
        <v>40</v>
      </c>
      <c r="P44" s="3"/>
      <c r="Q44" s="3"/>
      <c r="R44" s="3"/>
      <c r="S44" s="3"/>
      <c r="T44" s="4">
        <f t="shared" si="8"/>
        <v>0</v>
      </c>
      <c r="U44" s="12"/>
      <c r="V44" s="4">
        <v>40</v>
      </c>
      <c r="W44" s="3"/>
      <c r="X44" s="3"/>
      <c r="Y44" s="4">
        <f t="shared" si="9"/>
        <v>0</v>
      </c>
      <c r="Z44" s="3"/>
      <c r="AA44" s="4">
        <f t="shared" si="10"/>
        <v>0</v>
      </c>
    </row>
    <row r="45" spans="1:27" x14ac:dyDescent="0.25">
      <c r="A45" s="139">
        <v>41</v>
      </c>
      <c r="B45" s="141"/>
      <c r="C45" s="141"/>
      <c r="D45" s="139">
        <v>0</v>
      </c>
      <c r="E45" s="141"/>
      <c r="F45" s="139">
        <v>0</v>
      </c>
      <c r="G45" s="12"/>
      <c r="H45" s="4">
        <v>41</v>
      </c>
      <c r="I45" s="3"/>
      <c r="J45" s="3"/>
      <c r="K45" s="3"/>
      <c r="L45" s="3"/>
      <c r="M45" s="4">
        <f t="shared" si="7"/>
        <v>0</v>
      </c>
      <c r="N45" s="12"/>
      <c r="O45" s="4">
        <v>41</v>
      </c>
      <c r="P45" s="3"/>
      <c r="Q45" s="3"/>
      <c r="R45" s="3"/>
      <c r="S45" s="3"/>
      <c r="T45" s="4">
        <f t="shared" si="8"/>
        <v>0</v>
      </c>
      <c r="U45" s="12"/>
      <c r="V45" s="4">
        <v>41</v>
      </c>
      <c r="W45" s="3"/>
      <c r="X45" s="3"/>
      <c r="Y45" s="4">
        <f t="shared" si="9"/>
        <v>0</v>
      </c>
      <c r="Z45" s="3"/>
      <c r="AA45" s="4">
        <f t="shared" si="10"/>
        <v>0</v>
      </c>
    </row>
    <row r="46" spans="1:27" x14ac:dyDescent="0.25">
      <c r="A46" s="139">
        <v>42</v>
      </c>
      <c r="B46" s="141"/>
      <c r="C46" s="141"/>
      <c r="D46" s="139">
        <v>0</v>
      </c>
      <c r="E46" s="141"/>
      <c r="F46" s="139">
        <v>0</v>
      </c>
      <c r="G46" s="12"/>
      <c r="H46" s="4">
        <v>42</v>
      </c>
      <c r="I46" s="3"/>
      <c r="J46" s="3"/>
      <c r="K46" s="3"/>
      <c r="L46" s="3"/>
      <c r="M46" s="4">
        <f t="shared" si="7"/>
        <v>0</v>
      </c>
      <c r="N46" s="12"/>
      <c r="O46" s="4">
        <v>42</v>
      </c>
      <c r="P46" s="3"/>
      <c r="Q46" s="3"/>
      <c r="R46" s="3"/>
      <c r="S46" s="3"/>
      <c r="T46" s="4">
        <f t="shared" si="8"/>
        <v>0</v>
      </c>
      <c r="U46" s="12"/>
      <c r="V46" s="4">
        <v>42</v>
      </c>
      <c r="W46" s="3"/>
      <c r="X46" s="3"/>
      <c r="Y46" s="4">
        <f t="shared" si="9"/>
        <v>0</v>
      </c>
      <c r="Z46" s="3"/>
      <c r="AA46" s="4">
        <f t="shared" si="10"/>
        <v>0</v>
      </c>
    </row>
    <row r="47" spans="1:27" x14ac:dyDescent="0.25">
      <c r="A47" s="139">
        <v>43</v>
      </c>
      <c r="B47" s="141"/>
      <c r="C47" s="141"/>
      <c r="D47" s="139">
        <v>0</v>
      </c>
      <c r="E47" s="141"/>
      <c r="F47" s="139">
        <v>0</v>
      </c>
      <c r="G47" s="12"/>
      <c r="H47" s="4">
        <v>43</v>
      </c>
      <c r="I47" s="3"/>
      <c r="J47" s="3"/>
      <c r="K47" s="3"/>
      <c r="L47" s="3"/>
      <c r="M47" s="4">
        <f t="shared" si="7"/>
        <v>0</v>
      </c>
      <c r="N47" s="12"/>
      <c r="O47" s="4">
        <v>43</v>
      </c>
      <c r="P47" s="3"/>
      <c r="Q47" s="3"/>
      <c r="R47" s="3"/>
      <c r="S47" s="3"/>
      <c r="T47" s="4">
        <f t="shared" si="8"/>
        <v>0</v>
      </c>
      <c r="U47" s="12"/>
      <c r="V47" s="4">
        <v>43</v>
      </c>
      <c r="W47" s="3"/>
      <c r="X47" s="3"/>
      <c r="Y47" s="4">
        <f t="shared" si="9"/>
        <v>0</v>
      </c>
      <c r="Z47" s="3"/>
      <c r="AA47" s="4">
        <f t="shared" si="10"/>
        <v>0</v>
      </c>
    </row>
    <row r="48" spans="1:27" x14ac:dyDescent="0.25">
      <c r="A48" s="139">
        <v>44</v>
      </c>
      <c r="B48" s="141"/>
      <c r="C48" s="141"/>
      <c r="D48" s="139">
        <v>0</v>
      </c>
      <c r="E48" s="141"/>
      <c r="F48" s="139">
        <v>0</v>
      </c>
      <c r="G48" s="12"/>
      <c r="H48" s="4">
        <v>44</v>
      </c>
      <c r="I48" s="3"/>
      <c r="J48" s="3"/>
      <c r="K48" s="3"/>
      <c r="L48" s="3"/>
      <c r="M48" s="4">
        <f t="shared" si="7"/>
        <v>0</v>
      </c>
      <c r="N48" s="12"/>
      <c r="O48" s="4">
        <v>44</v>
      </c>
      <c r="P48" s="3"/>
      <c r="Q48" s="3"/>
      <c r="R48" s="3"/>
      <c r="S48" s="3"/>
      <c r="T48" s="4">
        <f t="shared" si="8"/>
        <v>0</v>
      </c>
      <c r="U48" s="12"/>
      <c r="V48" s="4">
        <v>44</v>
      </c>
      <c r="W48" s="3"/>
      <c r="X48" s="3"/>
      <c r="Y48" s="4">
        <f t="shared" si="9"/>
        <v>0</v>
      </c>
      <c r="Z48" s="3"/>
      <c r="AA48" s="4">
        <f t="shared" si="10"/>
        <v>0</v>
      </c>
    </row>
    <row r="49" spans="1:27" x14ac:dyDescent="0.25">
      <c r="A49" s="139">
        <v>45</v>
      </c>
      <c r="B49" s="141"/>
      <c r="C49" s="141"/>
      <c r="D49" s="139">
        <v>0</v>
      </c>
      <c r="E49" s="141"/>
      <c r="F49" s="139">
        <v>0</v>
      </c>
      <c r="G49" s="12"/>
      <c r="H49" s="4">
        <v>45</v>
      </c>
      <c r="I49" s="3"/>
      <c r="J49" s="3"/>
      <c r="K49" s="3"/>
      <c r="L49" s="3"/>
      <c r="M49" s="4">
        <f t="shared" si="7"/>
        <v>0</v>
      </c>
      <c r="N49" s="12"/>
      <c r="O49" s="4">
        <v>45</v>
      </c>
      <c r="P49" s="3"/>
      <c r="Q49" s="3"/>
      <c r="R49" s="3"/>
      <c r="S49" s="3"/>
      <c r="T49" s="4">
        <f t="shared" si="8"/>
        <v>0</v>
      </c>
      <c r="U49" s="12"/>
      <c r="V49" s="4">
        <v>45</v>
      </c>
      <c r="W49" s="3"/>
      <c r="X49" s="3"/>
      <c r="Y49" s="4">
        <f t="shared" si="9"/>
        <v>0</v>
      </c>
      <c r="Z49" s="3"/>
      <c r="AA49" s="4">
        <f t="shared" si="10"/>
        <v>0</v>
      </c>
    </row>
    <row r="50" spans="1:27" x14ac:dyDescent="0.25">
      <c r="A50" s="139">
        <v>46</v>
      </c>
      <c r="B50" s="141"/>
      <c r="C50" s="141"/>
      <c r="D50" s="139">
        <v>0</v>
      </c>
      <c r="E50" s="141"/>
      <c r="F50" s="139">
        <v>0</v>
      </c>
      <c r="G50" s="12"/>
      <c r="H50" s="4">
        <v>46</v>
      </c>
      <c r="I50" s="3"/>
      <c r="J50" s="3"/>
      <c r="K50" s="3"/>
      <c r="L50" s="3"/>
      <c r="M50" s="4">
        <f t="shared" si="7"/>
        <v>0</v>
      </c>
      <c r="N50" s="12"/>
      <c r="O50" s="4">
        <v>46</v>
      </c>
      <c r="P50" s="3"/>
      <c r="Q50" s="3"/>
      <c r="R50" s="3"/>
      <c r="S50" s="3"/>
      <c r="T50" s="4">
        <f t="shared" si="8"/>
        <v>0</v>
      </c>
      <c r="U50" s="12"/>
      <c r="V50" s="4">
        <v>46</v>
      </c>
      <c r="W50" s="3"/>
      <c r="X50" s="3"/>
      <c r="Y50" s="4">
        <f t="shared" si="9"/>
        <v>0</v>
      </c>
      <c r="Z50" s="3"/>
      <c r="AA50" s="4">
        <f t="shared" si="10"/>
        <v>0</v>
      </c>
    </row>
    <row r="51" spans="1:27" ht="18.75" x14ac:dyDescent="0.3">
      <c r="A51" s="13"/>
      <c r="B51" s="14"/>
      <c r="C51" s="6"/>
      <c r="D51" s="13"/>
      <c r="E51" s="13" t="s">
        <v>9</v>
      </c>
      <c r="F51" s="93">
        <f>SUM(F5:F50)</f>
        <v>82526</v>
      </c>
      <c r="G51" s="24"/>
      <c r="H51" s="6"/>
      <c r="I51" s="6"/>
      <c r="J51" s="6"/>
      <c r="K51" s="6"/>
      <c r="L51" s="13" t="s">
        <v>9</v>
      </c>
      <c r="M51" s="23">
        <f>SUM(M5:M50)</f>
        <v>41300.095999999998</v>
      </c>
      <c r="N51" s="24"/>
      <c r="O51" s="6"/>
      <c r="P51" s="6"/>
      <c r="Q51" s="6"/>
      <c r="R51" s="6"/>
      <c r="S51" s="13" t="s">
        <v>9</v>
      </c>
      <c r="T51" s="23">
        <f>SUM(T5:T50)</f>
        <v>107779.16</v>
      </c>
      <c r="U51" s="24"/>
      <c r="V51" s="6"/>
      <c r="W51" s="6"/>
      <c r="X51" s="6"/>
      <c r="Y51" s="6"/>
      <c r="Z51" s="13" t="s">
        <v>9</v>
      </c>
      <c r="AA51" s="23">
        <f>SUM(AA5:AA50)</f>
        <v>118003.55</v>
      </c>
    </row>
    <row r="55" spans="1:27" ht="15.75" x14ac:dyDescent="0.25">
      <c r="B55" s="41"/>
      <c r="C55" s="42"/>
      <c r="D55" s="42"/>
      <c r="E55" s="43" t="s">
        <v>172</v>
      </c>
      <c r="F55" s="44"/>
      <c r="G55" s="45"/>
      <c r="H55" s="46"/>
      <c r="I55" s="47"/>
      <c r="J55" s="48" t="s">
        <v>172</v>
      </c>
      <c r="K55" s="47"/>
      <c r="L55" s="49"/>
      <c r="M55" s="49"/>
    </row>
    <row r="56" spans="1:27" x14ac:dyDescent="0.25">
      <c r="B56" s="8"/>
      <c r="C56" s="39"/>
      <c r="D56" s="39"/>
      <c r="E56" s="50"/>
      <c r="F56" s="2"/>
      <c r="G56" s="39"/>
    </row>
    <row r="57" spans="1:27" ht="15.75" x14ac:dyDescent="0.25">
      <c r="B57" s="51" t="s">
        <v>58</v>
      </c>
      <c r="C57" s="2"/>
      <c r="D57" s="52" t="s">
        <v>59</v>
      </c>
      <c r="E57" s="53">
        <v>24993.7</v>
      </c>
      <c r="F57" s="2"/>
      <c r="G57" s="63" t="s">
        <v>60</v>
      </c>
      <c r="H57" s="63"/>
      <c r="I57" s="54"/>
      <c r="J57" s="55" t="s">
        <v>59</v>
      </c>
      <c r="K57" s="56">
        <v>24780</v>
      </c>
    </row>
    <row r="58" spans="1:27" x14ac:dyDescent="0.25">
      <c r="B58" s="94" t="s">
        <v>61</v>
      </c>
      <c r="C58" s="95">
        <v>1</v>
      </c>
      <c r="D58" s="52" t="s">
        <v>59</v>
      </c>
      <c r="E58" s="58"/>
      <c r="F58" s="2"/>
      <c r="G58" s="272" t="s">
        <v>86</v>
      </c>
      <c r="H58" s="272"/>
      <c r="I58" s="54"/>
      <c r="J58" s="55" t="s">
        <v>59</v>
      </c>
      <c r="K58" s="54"/>
    </row>
    <row r="59" spans="1:27" x14ac:dyDescent="0.25">
      <c r="B59" s="57" t="s">
        <v>62</v>
      </c>
      <c r="C59" s="2"/>
      <c r="D59" s="52" t="s">
        <v>59</v>
      </c>
      <c r="E59" s="58">
        <f>D85</f>
        <v>2131.62</v>
      </c>
      <c r="F59" s="2"/>
      <c r="G59" s="269" t="s">
        <v>62</v>
      </c>
      <c r="H59" s="269"/>
      <c r="I59" s="54"/>
      <c r="J59" s="55" t="s">
        <v>59</v>
      </c>
      <c r="K59" s="54">
        <f>K66+K67+K68</f>
        <v>2765</v>
      </c>
    </row>
    <row r="60" spans="1:27" ht="15.75" x14ac:dyDescent="0.25">
      <c r="B60" s="60" t="s">
        <v>63</v>
      </c>
      <c r="C60" s="39"/>
      <c r="D60" s="39"/>
      <c r="E60" s="61">
        <f>E57+E58-E59</f>
        <v>22862.080000000002</v>
      </c>
      <c r="F60" s="2"/>
      <c r="G60" s="62" t="s">
        <v>64</v>
      </c>
      <c r="H60" s="62"/>
      <c r="J60" s="54" t="s">
        <v>59</v>
      </c>
      <c r="K60" s="62">
        <f>K57+K58-K59</f>
        <v>22015</v>
      </c>
    </row>
    <row r="64" spans="1:27" x14ac:dyDescent="0.25">
      <c r="B64" s="69" t="s">
        <v>14</v>
      </c>
      <c r="C64" s="74" t="s">
        <v>75</v>
      </c>
      <c r="D64" s="74" t="s">
        <v>71</v>
      </c>
      <c r="E64" s="81" t="s">
        <v>18</v>
      </c>
      <c r="F64" s="74" t="s">
        <v>16</v>
      </c>
      <c r="G64" s="89" t="s">
        <v>76</v>
      </c>
      <c r="I64" s="64" t="s">
        <v>65</v>
      </c>
      <c r="K64" s="66" t="s">
        <v>71</v>
      </c>
      <c r="L64" s="66" t="s">
        <v>72</v>
      </c>
      <c r="M64" s="66" t="s">
        <v>73</v>
      </c>
    </row>
    <row r="65" spans="2:23" x14ac:dyDescent="0.25">
      <c r="B65" s="70" t="s">
        <v>173</v>
      </c>
      <c r="C65" s="28" t="s">
        <v>174</v>
      </c>
      <c r="D65" s="26">
        <v>75.12</v>
      </c>
      <c r="E65" s="84">
        <f>D65*4*1.18</f>
        <v>354.56639999999999</v>
      </c>
      <c r="F65" s="26" t="s">
        <v>175</v>
      </c>
      <c r="G65" s="77" t="s">
        <v>199</v>
      </c>
      <c r="H65" s="91" t="s">
        <v>305</v>
      </c>
    </row>
    <row r="66" spans="2:23" x14ac:dyDescent="0.25">
      <c r="B66" s="70" t="s">
        <v>176</v>
      </c>
      <c r="C66" s="28" t="s">
        <v>177</v>
      </c>
      <c r="D66" s="26">
        <v>150</v>
      </c>
      <c r="E66" s="84">
        <f t="shared" ref="E66:E84" si="11">D66*4*1.18</f>
        <v>708</v>
      </c>
      <c r="F66" s="216" t="s">
        <v>178</v>
      </c>
      <c r="G66" s="109" t="s">
        <v>200</v>
      </c>
      <c r="I66" s="65" t="s">
        <v>66</v>
      </c>
      <c r="J66" s="65" t="s">
        <v>59</v>
      </c>
      <c r="K66" s="67">
        <v>2605</v>
      </c>
      <c r="L66" s="67">
        <v>6.3</v>
      </c>
      <c r="M66" s="97">
        <f>K66*L66</f>
        <v>16411.5</v>
      </c>
      <c r="S66" t="s">
        <v>95</v>
      </c>
    </row>
    <row r="67" spans="2:23" x14ac:dyDescent="0.25">
      <c r="B67" s="72" t="s">
        <v>179</v>
      </c>
      <c r="C67" s="28" t="s">
        <v>180</v>
      </c>
      <c r="D67" s="26">
        <v>750</v>
      </c>
      <c r="E67" s="84">
        <v>5000</v>
      </c>
      <c r="F67" s="26" t="s">
        <v>181</v>
      </c>
      <c r="G67" s="90" t="s">
        <v>199</v>
      </c>
      <c r="H67" t="s">
        <v>305</v>
      </c>
      <c r="I67" s="65" t="s">
        <v>67</v>
      </c>
      <c r="J67" s="65" t="s">
        <v>59</v>
      </c>
      <c r="K67" s="67">
        <v>40</v>
      </c>
      <c r="L67" s="67">
        <v>7.3</v>
      </c>
      <c r="M67" s="97">
        <f t="shared" ref="M67:M68" si="12">K67*L67</f>
        <v>292</v>
      </c>
      <c r="Q67" s="65"/>
      <c r="R67" s="65"/>
      <c r="S67" s="65"/>
      <c r="T67" s="65"/>
    </row>
    <row r="68" spans="2:23" x14ac:dyDescent="0.25">
      <c r="B68" s="72" t="s">
        <v>182</v>
      </c>
      <c r="C68" s="28" t="s">
        <v>183</v>
      </c>
      <c r="D68" s="26">
        <v>356</v>
      </c>
      <c r="E68" s="84">
        <f t="shared" si="11"/>
        <v>1680.32</v>
      </c>
      <c r="F68" s="26" t="s">
        <v>184</v>
      </c>
      <c r="G68" s="90" t="s">
        <v>199</v>
      </c>
      <c r="H68" t="s">
        <v>138</v>
      </c>
      <c r="I68" s="65" t="s">
        <v>68</v>
      </c>
      <c r="J68" s="65" t="s">
        <v>59</v>
      </c>
      <c r="K68" s="67">
        <v>120</v>
      </c>
      <c r="L68" s="67">
        <v>6</v>
      </c>
      <c r="M68" s="97">
        <f t="shared" si="12"/>
        <v>720</v>
      </c>
      <c r="Q68" s="66" t="s">
        <v>66</v>
      </c>
      <c r="R68" s="66" t="s">
        <v>93</v>
      </c>
      <c r="S68" s="66" t="s">
        <v>94</v>
      </c>
      <c r="T68" s="66" t="s">
        <v>70</v>
      </c>
      <c r="V68" s="66" t="s">
        <v>78</v>
      </c>
    </row>
    <row r="69" spans="2:23" x14ac:dyDescent="0.25">
      <c r="B69" s="72" t="s">
        <v>182</v>
      </c>
      <c r="C69" s="28" t="s">
        <v>185</v>
      </c>
      <c r="D69" s="26">
        <v>32</v>
      </c>
      <c r="E69" s="84">
        <f t="shared" si="11"/>
        <v>151.04</v>
      </c>
      <c r="F69" s="26" t="s">
        <v>186</v>
      </c>
      <c r="G69" s="90" t="s">
        <v>199</v>
      </c>
      <c r="H69" s="91"/>
      <c r="I69" s="65" t="s">
        <v>69</v>
      </c>
      <c r="J69" s="65" t="s">
        <v>59</v>
      </c>
      <c r="K69" s="68"/>
      <c r="L69" s="68"/>
      <c r="M69" s="97">
        <v>5066</v>
      </c>
      <c r="Q69" s="65"/>
      <c r="R69" s="65"/>
      <c r="S69" s="65"/>
      <c r="T69" s="65"/>
    </row>
    <row r="70" spans="2:23" x14ac:dyDescent="0.25">
      <c r="B70" s="72" t="s">
        <v>187</v>
      </c>
      <c r="C70" s="28" t="s">
        <v>188</v>
      </c>
      <c r="D70" s="26">
        <v>42.6</v>
      </c>
      <c r="E70" s="84">
        <f t="shared" si="11"/>
        <v>201.072</v>
      </c>
      <c r="F70" s="26" t="s">
        <v>186</v>
      </c>
      <c r="G70" s="90" t="s">
        <v>199</v>
      </c>
      <c r="H70" s="92"/>
      <c r="I70" s="65" t="s">
        <v>141</v>
      </c>
      <c r="J70" s="65"/>
      <c r="K70" s="68"/>
      <c r="L70" s="68"/>
      <c r="M70" s="97">
        <v>1645</v>
      </c>
      <c r="P70" t="s">
        <v>92</v>
      </c>
      <c r="Q70" s="65"/>
      <c r="R70" s="65"/>
      <c r="S70" s="65"/>
      <c r="T70" s="65"/>
    </row>
    <row r="71" spans="2:23" x14ac:dyDescent="0.25">
      <c r="B71" s="72" t="s">
        <v>187</v>
      </c>
      <c r="C71" s="217" t="s">
        <v>189</v>
      </c>
      <c r="D71" s="134">
        <v>597.5</v>
      </c>
      <c r="E71" s="84">
        <f t="shared" si="11"/>
        <v>2820.2</v>
      </c>
      <c r="F71" s="26" t="s">
        <v>190</v>
      </c>
      <c r="G71" s="77" t="s">
        <v>199</v>
      </c>
      <c r="H71" t="s">
        <v>324</v>
      </c>
      <c r="I71" s="65" t="s">
        <v>70</v>
      </c>
      <c r="J71" s="65">
        <v>3650</v>
      </c>
      <c r="K71" s="65"/>
      <c r="L71" s="98"/>
      <c r="M71" s="98">
        <f>SUM(M66:M70)</f>
        <v>24134.5</v>
      </c>
      <c r="Q71" s="65"/>
      <c r="R71" s="65"/>
      <c r="S71" s="65"/>
      <c r="T71" s="65"/>
      <c r="W71">
        <v>2400</v>
      </c>
    </row>
    <row r="72" spans="2:23" x14ac:dyDescent="0.25">
      <c r="B72" s="116" t="s">
        <v>191</v>
      </c>
      <c r="C72" s="76" t="s">
        <v>192</v>
      </c>
      <c r="D72" s="117">
        <v>128.4</v>
      </c>
      <c r="E72" s="84">
        <f t="shared" si="11"/>
        <v>606.048</v>
      </c>
      <c r="F72" s="216" t="s">
        <v>193</v>
      </c>
      <c r="G72" s="117" t="s">
        <v>199</v>
      </c>
      <c r="H72" t="s">
        <v>304</v>
      </c>
      <c r="I72" s="65"/>
      <c r="J72" s="65"/>
      <c r="K72" s="65" t="s">
        <v>140</v>
      </c>
      <c r="L72" s="65"/>
      <c r="M72" s="65"/>
      <c r="Q72" s="65"/>
      <c r="R72" s="65"/>
      <c r="S72" s="65"/>
      <c r="T72" s="65"/>
    </row>
    <row r="73" spans="2:23" x14ac:dyDescent="0.25">
      <c r="B73" s="10"/>
      <c r="C73" s="28"/>
      <c r="D73" s="40"/>
      <c r="E73" s="84">
        <f t="shared" si="11"/>
        <v>0</v>
      </c>
      <c r="F73" s="4"/>
      <c r="G73" s="40"/>
      <c r="I73" s="65"/>
      <c r="J73" s="65"/>
      <c r="K73" s="65" t="s">
        <v>85</v>
      </c>
      <c r="L73" s="65"/>
      <c r="M73" s="65"/>
      <c r="Q73" s="98">
        <v>2763</v>
      </c>
      <c r="R73" s="98">
        <v>5066</v>
      </c>
      <c r="S73" s="98">
        <v>24135</v>
      </c>
      <c r="T73" s="98">
        <v>3650</v>
      </c>
      <c r="V73" s="98">
        <v>1645</v>
      </c>
    </row>
    <row r="74" spans="2:23" x14ac:dyDescent="0.25">
      <c r="B74" s="10"/>
      <c r="C74" s="28"/>
      <c r="D74" s="40"/>
      <c r="E74" s="84">
        <f t="shared" si="11"/>
        <v>0</v>
      </c>
      <c r="F74" s="4"/>
      <c r="G74" s="40"/>
      <c r="I74" s="65" t="s">
        <v>84</v>
      </c>
      <c r="J74" s="65"/>
      <c r="K74" s="65" t="s">
        <v>141</v>
      </c>
      <c r="L74" s="65">
        <f>65+6.5+91+4</f>
        <v>166.5</v>
      </c>
      <c r="M74" s="65">
        <v>5.9</v>
      </c>
      <c r="N74">
        <f>L74*M74</f>
        <v>982.35</v>
      </c>
    </row>
    <row r="75" spans="2:23" x14ac:dyDescent="0.25">
      <c r="B75" s="10"/>
      <c r="C75" s="28"/>
      <c r="D75" s="40"/>
      <c r="E75" s="84">
        <f t="shared" si="11"/>
        <v>0</v>
      </c>
      <c r="F75" s="4"/>
      <c r="G75" s="40"/>
      <c r="K75" t="s">
        <v>142</v>
      </c>
      <c r="L75">
        <v>416</v>
      </c>
      <c r="M75">
        <v>1.4</v>
      </c>
      <c r="N75">
        <f t="shared" ref="N75:N76" si="13">L75*M75</f>
        <v>582.4</v>
      </c>
    </row>
    <row r="76" spans="2:23" x14ac:dyDescent="0.25">
      <c r="B76" s="10"/>
      <c r="C76" s="28"/>
      <c r="D76" s="40"/>
      <c r="E76" s="84">
        <f t="shared" si="11"/>
        <v>0</v>
      </c>
      <c r="F76" s="4"/>
      <c r="G76" s="40"/>
      <c r="K76" s="65" t="s">
        <v>143</v>
      </c>
      <c r="L76">
        <v>8</v>
      </c>
      <c r="M76">
        <v>10</v>
      </c>
      <c r="N76">
        <f t="shared" si="13"/>
        <v>80</v>
      </c>
    </row>
    <row r="77" spans="2:23" x14ac:dyDescent="0.25">
      <c r="B77" s="10"/>
      <c r="C77" s="28"/>
      <c r="D77" s="40"/>
      <c r="E77" s="84">
        <f t="shared" si="11"/>
        <v>0</v>
      </c>
      <c r="F77" s="4"/>
      <c r="G77" s="40"/>
      <c r="N77">
        <f>SUM(N74:N76)</f>
        <v>1644.75</v>
      </c>
    </row>
    <row r="78" spans="2:23" x14ac:dyDescent="0.25">
      <c r="B78" s="10"/>
      <c r="C78" s="28"/>
      <c r="D78" s="40"/>
      <c r="E78" s="84">
        <f t="shared" si="11"/>
        <v>0</v>
      </c>
      <c r="F78" s="4"/>
      <c r="G78" s="40"/>
    </row>
    <row r="79" spans="2:23" x14ac:dyDescent="0.25">
      <c r="B79" s="10"/>
      <c r="C79" s="28"/>
      <c r="D79" s="40"/>
      <c r="E79" s="84">
        <f t="shared" si="11"/>
        <v>0</v>
      </c>
      <c r="F79" s="26"/>
      <c r="G79" s="40"/>
    </row>
    <row r="80" spans="2:23" x14ac:dyDescent="0.25">
      <c r="B80" s="10"/>
      <c r="C80" s="40"/>
      <c r="D80" s="40"/>
      <c r="E80" s="84">
        <f t="shared" si="11"/>
        <v>0</v>
      </c>
      <c r="F80" s="4"/>
      <c r="G80" s="40"/>
      <c r="H80" s="115"/>
      <c r="P80" s="104"/>
    </row>
    <row r="81" spans="2:13" x14ac:dyDescent="0.25">
      <c r="B81" s="10"/>
      <c r="C81" s="40"/>
      <c r="D81" s="40"/>
      <c r="E81" s="84">
        <f t="shared" si="11"/>
        <v>0</v>
      </c>
      <c r="F81" s="4"/>
      <c r="G81" s="40"/>
    </row>
    <row r="82" spans="2:13" x14ac:dyDescent="0.25">
      <c r="B82" s="72"/>
      <c r="C82" s="77"/>
      <c r="D82" s="77"/>
      <c r="E82" s="84">
        <f t="shared" si="11"/>
        <v>0</v>
      </c>
      <c r="F82" s="26"/>
      <c r="G82" s="40"/>
    </row>
    <row r="83" spans="2:13" x14ac:dyDescent="0.25">
      <c r="B83" s="72"/>
      <c r="C83" s="77"/>
      <c r="D83" s="77"/>
      <c r="E83" s="84">
        <f t="shared" si="11"/>
        <v>0</v>
      </c>
      <c r="F83" s="26"/>
      <c r="G83" s="40"/>
    </row>
    <row r="84" spans="2:13" x14ac:dyDescent="0.25">
      <c r="B84" s="72"/>
      <c r="C84" s="77"/>
      <c r="D84" s="77"/>
      <c r="E84" s="84">
        <f t="shared" si="11"/>
        <v>0</v>
      </c>
      <c r="F84" s="26"/>
      <c r="G84" s="40"/>
    </row>
    <row r="85" spans="2:13" x14ac:dyDescent="0.25">
      <c r="B85" s="73"/>
      <c r="C85" s="78"/>
      <c r="D85" s="78">
        <f>SUM(D65:D84)</f>
        <v>2131.62</v>
      </c>
      <c r="E85" s="87">
        <f>SUM(E65:E84)</f>
        <v>11521.2464</v>
      </c>
      <c r="F85" s="59"/>
      <c r="G85" s="39"/>
    </row>
    <row r="86" spans="2:13" x14ac:dyDescent="0.25">
      <c r="B86" s="8"/>
      <c r="C86" s="39"/>
      <c r="D86" s="39"/>
      <c r="E86" s="50"/>
      <c r="F86" s="2"/>
      <c r="G86" s="39"/>
    </row>
    <row r="87" spans="2:13" x14ac:dyDescent="0.25">
      <c r="B87" s="271"/>
      <c r="C87" s="271"/>
      <c r="D87" s="105"/>
      <c r="E87" s="50"/>
      <c r="F87" s="2"/>
      <c r="G87" s="39"/>
    </row>
    <row r="88" spans="2:13" x14ac:dyDescent="0.25">
      <c r="B88" s="106"/>
      <c r="C88" s="106"/>
      <c r="D88" s="106"/>
    </row>
    <row r="91" spans="2:13" ht="15.75" x14ac:dyDescent="0.25">
      <c r="B91" s="41"/>
      <c r="C91" s="42"/>
      <c r="D91" s="221"/>
      <c r="E91" s="222" t="s">
        <v>392</v>
      </c>
      <c r="F91" s="223"/>
      <c r="G91" s="224"/>
      <c r="H91" s="225"/>
      <c r="I91" s="226"/>
      <c r="J91" s="222">
        <v>2026</v>
      </c>
      <c r="K91" s="226" t="s">
        <v>144</v>
      </c>
      <c r="L91" s="49"/>
      <c r="M91" s="49"/>
    </row>
    <row r="92" spans="2:13" x14ac:dyDescent="0.25">
      <c r="B92" s="8"/>
      <c r="C92" s="39"/>
      <c r="D92" s="137"/>
      <c r="E92" s="138"/>
      <c r="F92" s="227"/>
      <c r="G92" s="137"/>
      <c r="H92" s="92"/>
      <c r="I92" s="92"/>
      <c r="J92" s="92"/>
      <c r="K92" s="92"/>
    </row>
    <row r="93" spans="2:13" ht="15.75" x14ac:dyDescent="0.25">
      <c r="B93" s="51" t="s">
        <v>58</v>
      </c>
      <c r="C93" s="2"/>
      <c r="D93" s="52" t="s">
        <v>59</v>
      </c>
      <c r="E93" s="53">
        <f>E60</f>
        <v>22862.080000000002</v>
      </c>
      <c r="F93" s="2"/>
      <c r="G93" s="63" t="s">
        <v>60</v>
      </c>
      <c r="H93" s="63"/>
      <c r="I93" s="54"/>
      <c r="J93" s="55" t="s">
        <v>59</v>
      </c>
      <c r="K93" s="56">
        <f>K60</f>
        <v>22015</v>
      </c>
    </row>
    <row r="94" spans="2:13" x14ac:dyDescent="0.25">
      <c r="B94" s="57" t="s">
        <v>61</v>
      </c>
      <c r="C94" s="2"/>
      <c r="D94" s="52">
        <v>1</v>
      </c>
      <c r="E94" s="58">
        <v>8661</v>
      </c>
      <c r="F94" s="2"/>
      <c r="G94" s="269" t="s">
        <v>61</v>
      </c>
      <c r="H94" s="269"/>
      <c r="I94" s="54"/>
      <c r="J94" s="55">
        <v>1</v>
      </c>
      <c r="K94" s="54">
        <v>8661</v>
      </c>
      <c r="L94" t="s">
        <v>141</v>
      </c>
      <c r="M94" t="s">
        <v>259</v>
      </c>
    </row>
    <row r="95" spans="2:13" x14ac:dyDescent="0.25">
      <c r="B95" s="57" t="s">
        <v>62</v>
      </c>
      <c r="C95" s="2"/>
      <c r="D95" s="52" t="s">
        <v>59</v>
      </c>
      <c r="E95" s="58">
        <v>3623</v>
      </c>
      <c r="F95" s="2"/>
      <c r="G95" s="269" t="s">
        <v>62</v>
      </c>
      <c r="H95" s="269"/>
      <c r="I95" s="54"/>
      <c r="J95" s="55" t="s">
        <v>59</v>
      </c>
      <c r="K95" s="165">
        <v>4105</v>
      </c>
    </row>
    <row r="96" spans="2:13" ht="15.75" x14ac:dyDescent="0.25">
      <c r="B96" s="60" t="s">
        <v>63</v>
      </c>
      <c r="C96" s="39"/>
      <c r="D96" s="39"/>
      <c r="E96" s="61">
        <f>E93+E94-E95</f>
        <v>27900.080000000002</v>
      </c>
      <c r="F96" s="2"/>
      <c r="G96" s="62" t="s">
        <v>64</v>
      </c>
      <c r="H96" s="62"/>
      <c r="J96" s="54" t="s">
        <v>59</v>
      </c>
      <c r="K96" s="62">
        <f>K93+K94-K95</f>
        <v>26571</v>
      </c>
    </row>
    <row r="99" spans="2:23" x14ac:dyDescent="0.25">
      <c r="K99" s="99"/>
    </row>
    <row r="100" spans="2:23" x14ac:dyDescent="0.25">
      <c r="B100" s="69" t="s">
        <v>14</v>
      </c>
      <c r="C100" s="74" t="s">
        <v>75</v>
      </c>
      <c r="D100" s="74" t="s">
        <v>71</v>
      </c>
      <c r="E100" s="81" t="s">
        <v>18</v>
      </c>
      <c r="F100" s="74" t="s">
        <v>16</v>
      </c>
      <c r="G100" s="89" t="s">
        <v>76</v>
      </c>
      <c r="I100" s="64" t="s">
        <v>65</v>
      </c>
      <c r="K100" s="66" t="s">
        <v>71</v>
      </c>
      <c r="L100" s="66" t="s">
        <v>72</v>
      </c>
      <c r="M100" s="66" t="s">
        <v>73</v>
      </c>
    </row>
    <row r="101" spans="2:23" x14ac:dyDescent="0.25">
      <c r="B101" s="152" t="s">
        <v>201</v>
      </c>
      <c r="C101" s="153" t="s">
        <v>202</v>
      </c>
      <c r="D101" s="154">
        <v>58</v>
      </c>
      <c r="E101" s="174">
        <v>273.76</v>
      </c>
      <c r="F101" s="155" t="s">
        <v>203</v>
      </c>
      <c r="G101" s="176" t="s">
        <v>204</v>
      </c>
      <c r="H101" s="91"/>
    </row>
    <row r="102" spans="2:23" x14ac:dyDescent="0.25">
      <c r="B102" s="152" t="s">
        <v>194</v>
      </c>
      <c r="C102" s="153" t="s">
        <v>205</v>
      </c>
      <c r="D102" s="154">
        <v>55</v>
      </c>
      <c r="E102" s="174">
        <v>259.60000000000002</v>
      </c>
      <c r="F102" s="155" t="s">
        <v>203</v>
      </c>
      <c r="G102" s="176" t="s">
        <v>204</v>
      </c>
      <c r="I102" s="65" t="s">
        <v>66</v>
      </c>
      <c r="J102" s="65" t="s">
        <v>59</v>
      </c>
      <c r="K102" s="67">
        <v>3885</v>
      </c>
      <c r="L102" s="67">
        <v>6.2</v>
      </c>
      <c r="M102" s="65">
        <f>K102*L102</f>
        <v>24087</v>
      </c>
    </row>
    <row r="103" spans="2:23" x14ac:dyDescent="0.25">
      <c r="B103" s="157" t="s">
        <v>206</v>
      </c>
      <c r="C103" s="143" t="s">
        <v>207</v>
      </c>
      <c r="D103" s="144">
        <v>324.2</v>
      </c>
      <c r="E103" s="175">
        <v>1530.2</v>
      </c>
      <c r="F103" s="144" t="s">
        <v>208</v>
      </c>
      <c r="G103" s="176" t="s">
        <v>204</v>
      </c>
      <c r="H103" t="s">
        <v>304</v>
      </c>
      <c r="I103" s="65" t="s">
        <v>67</v>
      </c>
      <c r="J103" s="65" t="s">
        <v>59</v>
      </c>
      <c r="K103" s="67">
        <v>120</v>
      </c>
      <c r="L103" s="67">
        <v>7.2</v>
      </c>
      <c r="M103" s="65">
        <f t="shared" ref="M103:M107" si="14">K103*L103</f>
        <v>864</v>
      </c>
      <c r="Q103" s="66" t="s">
        <v>66</v>
      </c>
      <c r="R103" s="66" t="s">
        <v>93</v>
      </c>
      <c r="S103" s="66" t="s">
        <v>94</v>
      </c>
      <c r="T103" s="66" t="s">
        <v>70</v>
      </c>
      <c r="V103" s="66" t="s">
        <v>78</v>
      </c>
    </row>
    <row r="104" spans="2:23" x14ac:dyDescent="0.25">
      <c r="B104" s="157" t="s">
        <v>209</v>
      </c>
      <c r="C104" s="143" t="s">
        <v>210</v>
      </c>
      <c r="D104" s="144">
        <v>212</v>
      </c>
      <c r="E104" s="175">
        <v>1000.64</v>
      </c>
      <c r="F104" s="144" t="s">
        <v>211</v>
      </c>
      <c r="G104" s="176" t="s">
        <v>204</v>
      </c>
      <c r="H104" t="s">
        <v>305</v>
      </c>
      <c r="I104" s="65" t="s">
        <v>68</v>
      </c>
      <c r="J104" s="65" t="s">
        <v>59</v>
      </c>
      <c r="K104" s="67">
        <v>100</v>
      </c>
      <c r="L104" s="67">
        <v>6.1</v>
      </c>
      <c r="M104" s="65">
        <f t="shared" si="14"/>
        <v>610</v>
      </c>
      <c r="Q104" s="65"/>
      <c r="R104" s="65"/>
      <c r="S104" s="65"/>
      <c r="T104" s="65"/>
    </row>
    <row r="105" spans="2:23" x14ac:dyDescent="0.25">
      <c r="B105" s="157" t="s">
        <v>212</v>
      </c>
      <c r="C105" s="143" t="s">
        <v>230</v>
      </c>
      <c r="D105" s="144">
        <v>62</v>
      </c>
      <c r="E105" s="175">
        <v>292.64</v>
      </c>
      <c r="F105" s="144" t="s">
        <v>231</v>
      </c>
      <c r="G105" s="176" t="s">
        <v>204</v>
      </c>
      <c r="I105" s="65"/>
      <c r="J105" s="65"/>
      <c r="K105" s="67"/>
      <c r="L105" s="67"/>
      <c r="M105" s="65"/>
      <c r="Q105" s="65"/>
      <c r="R105" s="65"/>
      <c r="S105" s="65"/>
      <c r="T105" s="65"/>
    </row>
    <row r="106" spans="2:23" x14ac:dyDescent="0.25">
      <c r="B106" s="72" t="s">
        <v>212</v>
      </c>
      <c r="C106" s="28" t="s">
        <v>213</v>
      </c>
      <c r="D106" s="26">
        <v>125.3</v>
      </c>
      <c r="E106" s="84">
        <v>591.41999999999996</v>
      </c>
      <c r="F106" s="26" t="s">
        <v>214</v>
      </c>
      <c r="G106" s="176" t="s">
        <v>204</v>
      </c>
      <c r="H106" s="91" t="s">
        <v>304</v>
      </c>
      <c r="I106" s="65" t="s">
        <v>69</v>
      </c>
      <c r="J106" s="65" t="s">
        <v>59</v>
      </c>
      <c r="K106" s="68"/>
      <c r="L106" s="68"/>
      <c r="M106" s="65">
        <v>7650</v>
      </c>
      <c r="Q106" s="65"/>
      <c r="R106" s="65"/>
      <c r="S106" s="65"/>
      <c r="T106" s="65"/>
    </row>
    <row r="107" spans="2:23" x14ac:dyDescent="0.25">
      <c r="B107" s="72" t="s">
        <v>215</v>
      </c>
      <c r="C107" s="28" t="s">
        <v>216</v>
      </c>
      <c r="D107" s="26">
        <v>510.4</v>
      </c>
      <c r="E107" s="84">
        <v>2410.0300000000002</v>
      </c>
      <c r="F107" s="26" t="s">
        <v>217</v>
      </c>
      <c r="G107" s="176" t="s">
        <v>204</v>
      </c>
      <c r="H107" t="s">
        <v>305</v>
      </c>
      <c r="I107" s="65"/>
      <c r="J107" s="65"/>
      <c r="K107" s="68"/>
      <c r="L107" s="68"/>
      <c r="M107" s="65">
        <f t="shared" si="14"/>
        <v>0</v>
      </c>
      <c r="Q107" s="65"/>
      <c r="R107" s="65"/>
      <c r="S107" s="65"/>
      <c r="T107" s="65"/>
    </row>
    <row r="108" spans="2:23" x14ac:dyDescent="0.25">
      <c r="B108" s="72" t="s">
        <v>218</v>
      </c>
      <c r="C108" s="77" t="s">
        <v>219</v>
      </c>
      <c r="D108" s="77">
        <v>246.5</v>
      </c>
      <c r="E108" s="85">
        <v>1163.48</v>
      </c>
      <c r="F108" s="26" t="s">
        <v>220</v>
      </c>
      <c r="G108" s="251" t="s">
        <v>204</v>
      </c>
      <c r="H108" t="s">
        <v>304</v>
      </c>
      <c r="I108" s="65" t="s">
        <v>70</v>
      </c>
      <c r="J108" s="65">
        <v>5120</v>
      </c>
      <c r="K108" s="65"/>
      <c r="L108" s="65"/>
      <c r="M108" s="65"/>
      <c r="Q108" s="65"/>
      <c r="R108" s="65"/>
      <c r="S108" s="65"/>
      <c r="T108" s="65"/>
    </row>
    <row r="109" spans="2:23" x14ac:dyDescent="0.25">
      <c r="B109" s="72" t="s">
        <v>221</v>
      </c>
      <c r="C109" s="28" t="s">
        <v>222</v>
      </c>
      <c r="D109" s="26">
        <v>366.6</v>
      </c>
      <c r="E109" s="84">
        <v>1730.35</v>
      </c>
      <c r="F109" s="26" t="s">
        <v>217</v>
      </c>
      <c r="G109" s="251" t="s">
        <v>204</v>
      </c>
      <c r="H109" s="115" t="s">
        <v>305</v>
      </c>
      <c r="I109" s="65"/>
      <c r="J109" s="65"/>
      <c r="K109" s="65"/>
      <c r="L109" s="65"/>
      <c r="M109" s="65">
        <f>SUM(M102:M108)</f>
        <v>33211</v>
      </c>
      <c r="Q109" s="98">
        <v>4105</v>
      </c>
      <c r="R109" s="98">
        <v>7650</v>
      </c>
      <c r="S109" s="98">
        <v>34444</v>
      </c>
      <c r="T109" s="98">
        <v>5120</v>
      </c>
      <c r="V109" s="98">
        <v>1230</v>
      </c>
      <c r="W109" s="98" t="s">
        <v>260</v>
      </c>
    </row>
    <row r="110" spans="2:23" x14ac:dyDescent="0.25">
      <c r="B110" s="72" t="s">
        <v>221</v>
      </c>
      <c r="C110" s="28" t="s">
        <v>223</v>
      </c>
      <c r="D110" s="26">
        <v>418.8</v>
      </c>
      <c r="E110" s="84">
        <v>1976.74</v>
      </c>
      <c r="F110" s="26" t="s">
        <v>217</v>
      </c>
      <c r="G110" s="176" t="s">
        <v>204</v>
      </c>
      <c r="H110" s="111" t="s">
        <v>501</v>
      </c>
      <c r="I110" s="65"/>
      <c r="J110" s="98"/>
      <c r="K110" s="98"/>
      <c r="L110" s="98"/>
      <c r="M110" s="65">
        <v>1230</v>
      </c>
    </row>
    <row r="111" spans="2:23" x14ac:dyDescent="0.25">
      <c r="B111" s="116" t="s">
        <v>224</v>
      </c>
      <c r="C111" s="117" t="s">
        <v>225</v>
      </c>
      <c r="D111" s="117">
        <v>56.8</v>
      </c>
      <c r="E111" s="118">
        <v>268.10000000000002</v>
      </c>
      <c r="F111" s="119" t="s">
        <v>226</v>
      </c>
      <c r="G111" s="117" t="s">
        <v>204</v>
      </c>
      <c r="H111" s="204" t="s">
        <v>304</v>
      </c>
      <c r="I111" s="65"/>
      <c r="J111" s="98"/>
      <c r="K111" s="98"/>
      <c r="L111" s="98"/>
      <c r="M111" s="98">
        <f>SUM(M109:M110)</f>
        <v>34441</v>
      </c>
    </row>
    <row r="112" spans="2:23" x14ac:dyDescent="0.25">
      <c r="B112" s="116" t="s">
        <v>227</v>
      </c>
      <c r="C112" s="117" t="s">
        <v>228</v>
      </c>
      <c r="D112" s="117">
        <v>65.400000000000006</v>
      </c>
      <c r="E112" s="118">
        <v>308.69</v>
      </c>
      <c r="F112" s="119" t="s">
        <v>229</v>
      </c>
      <c r="G112" s="117" t="s">
        <v>204</v>
      </c>
      <c r="H112" s="204" t="s">
        <v>304</v>
      </c>
      <c r="J112" s="106"/>
      <c r="K112" s="65" t="s">
        <v>85</v>
      </c>
      <c r="L112" s="65"/>
      <c r="M112" s="65"/>
    </row>
    <row r="113" spans="2:14" x14ac:dyDescent="0.25">
      <c r="B113" s="116" t="s">
        <v>232</v>
      </c>
      <c r="C113" s="117" t="s">
        <v>233</v>
      </c>
      <c r="D113" s="117">
        <v>191.3</v>
      </c>
      <c r="E113" s="118">
        <v>902.94</v>
      </c>
      <c r="F113" s="119" t="s">
        <v>234</v>
      </c>
      <c r="G113" s="117" t="s">
        <v>204</v>
      </c>
      <c r="H113" s="204" t="s">
        <v>305</v>
      </c>
      <c r="K113" s="65" t="s">
        <v>141</v>
      </c>
      <c r="L113" s="65">
        <v>182</v>
      </c>
      <c r="M113" s="65">
        <v>5.9</v>
      </c>
      <c r="N113" s="92">
        <f>L113*M113</f>
        <v>1073.8</v>
      </c>
    </row>
    <row r="114" spans="2:14" x14ac:dyDescent="0.25">
      <c r="B114" s="72" t="s">
        <v>235</v>
      </c>
      <c r="C114" s="28" t="s">
        <v>236</v>
      </c>
      <c r="D114" s="26">
        <v>71.55</v>
      </c>
      <c r="E114" s="84">
        <v>337.72</v>
      </c>
      <c r="F114" s="26" t="s">
        <v>237</v>
      </c>
      <c r="G114" s="90" t="s">
        <v>204</v>
      </c>
      <c r="H114" t="s">
        <v>304</v>
      </c>
      <c r="K114" t="s">
        <v>142</v>
      </c>
      <c r="L114">
        <v>130</v>
      </c>
      <c r="M114">
        <v>1.2</v>
      </c>
      <c r="N114" s="92">
        <f>L114*M114</f>
        <v>156</v>
      </c>
    </row>
    <row r="115" spans="2:14" x14ac:dyDescent="0.25">
      <c r="B115" s="116" t="s">
        <v>238</v>
      </c>
      <c r="C115" s="117" t="s">
        <v>239</v>
      </c>
      <c r="D115" s="117">
        <v>18.2</v>
      </c>
      <c r="E115" s="118">
        <v>85.9</v>
      </c>
      <c r="F115" s="26" t="s">
        <v>237</v>
      </c>
      <c r="G115" s="150" t="s">
        <v>204</v>
      </c>
      <c r="H115" s="130" t="s">
        <v>304</v>
      </c>
      <c r="K115" s="65" t="s">
        <v>143</v>
      </c>
      <c r="N115" s="92">
        <f>SUM(N113:N114)</f>
        <v>1229.8</v>
      </c>
    </row>
    <row r="116" spans="2:14" x14ac:dyDescent="0.25">
      <c r="B116" s="116" t="s">
        <v>240</v>
      </c>
      <c r="C116" s="117" t="s">
        <v>241</v>
      </c>
      <c r="D116" s="117">
        <v>466.2</v>
      </c>
      <c r="E116" s="118">
        <v>2200.46</v>
      </c>
      <c r="F116" s="119" t="s">
        <v>242</v>
      </c>
      <c r="G116" s="117" t="s">
        <v>204</v>
      </c>
      <c r="H116" s="266" t="s">
        <v>305</v>
      </c>
    </row>
    <row r="117" spans="2:14" x14ac:dyDescent="0.25">
      <c r="B117" s="116" t="s">
        <v>243</v>
      </c>
      <c r="C117" s="117" t="s">
        <v>244</v>
      </c>
      <c r="D117" s="117">
        <v>374.2</v>
      </c>
      <c r="E117" s="118">
        <v>1766.22</v>
      </c>
      <c r="F117" s="119" t="s">
        <v>245</v>
      </c>
      <c r="G117" s="117" t="s">
        <v>204</v>
      </c>
      <c r="H117" s="266" t="s">
        <v>305</v>
      </c>
    </row>
    <row r="118" spans="2:14" x14ac:dyDescent="0.25">
      <c r="B118" s="10"/>
      <c r="C118" s="40"/>
      <c r="D118" s="40"/>
      <c r="E118" s="86"/>
      <c r="F118" s="4"/>
      <c r="G118" s="40"/>
    </row>
    <row r="119" spans="2:14" x14ac:dyDescent="0.25">
      <c r="B119" s="72"/>
      <c r="C119" s="77"/>
      <c r="D119" s="77"/>
      <c r="E119" s="85"/>
      <c r="F119" s="26"/>
      <c r="G119" s="40"/>
    </row>
    <row r="120" spans="2:14" x14ac:dyDescent="0.25">
      <c r="B120" s="72"/>
      <c r="C120" s="77"/>
      <c r="D120" s="77"/>
      <c r="E120" s="85"/>
      <c r="F120" s="26"/>
      <c r="G120" s="40"/>
    </row>
    <row r="121" spans="2:14" x14ac:dyDescent="0.25">
      <c r="B121" s="72"/>
      <c r="C121" s="77"/>
      <c r="D121" s="77"/>
      <c r="E121" s="85"/>
      <c r="F121" s="26"/>
      <c r="G121" s="40"/>
    </row>
    <row r="122" spans="2:14" x14ac:dyDescent="0.25">
      <c r="B122" s="73"/>
      <c r="C122" s="78"/>
      <c r="D122" s="78"/>
      <c r="E122" s="87">
        <f>SUM(E101:E121)</f>
        <v>17098.890000000003</v>
      </c>
      <c r="F122" s="59"/>
      <c r="G122" s="39"/>
    </row>
    <row r="123" spans="2:14" x14ac:dyDescent="0.25">
      <c r="B123" s="8"/>
      <c r="C123" s="39"/>
      <c r="D123" s="39"/>
      <c r="E123" s="50"/>
      <c r="F123" s="2"/>
      <c r="G123" s="39"/>
    </row>
    <row r="124" spans="2:14" x14ac:dyDescent="0.25">
      <c r="B124" s="271" t="s">
        <v>74</v>
      </c>
      <c r="C124" s="271"/>
      <c r="D124" s="105">
        <f>SUM(D101:D123)</f>
        <v>3622.4500000000003</v>
      </c>
      <c r="E124" s="50"/>
      <c r="F124" s="2"/>
      <c r="G124" s="39"/>
    </row>
    <row r="128" spans="2:14" ht="15.75" x14ac:dyDescent="0.25">
      <c r="B128" s="41"/>
      <c r="C128" s="42"/>
      <c r="D128" s="42"/>
      <c r="E128" s="43" t="s">
        <v>391</v>
      </c>
      <c r="F128" s="44"/>
      <c r="G128" s="45"/>
      <c r="H128" s="46"/>
      <c r="I128" s="43"/>
      <c r="J128" s="43" t="s">
        <v>391</v>
      </c>
      <c r="K128" s="47"/>
      <c r="L128" s="49"/>
      <c r="M128" s="49"/>
    </row>
    <row r="129" spans="2:23" x14ac:dyDescent="0.25">
      <c r="B129" s="8"/>
      <c r="C129" s="39"/>
      <c r="D129" s="39"/>
      <c r="E129" s="50"/>
      <c r="F129" s="2"/>
      <c r="G129" s="39"/>
    </row>
    <row r="130" spans="2:23" ht="15.75" x14ac:dyDescent="0.25">
      <c r="B130" s="51" t="s">
        <v>58</v>
      </c>
      <c r="C130" s="2"/>
      <c r="D130" s="52" t="s">
        <v>59</v>
      </c>
      <c r="E130" s="53">
        <f>E96</f>
        <v>27900.080000000002</v>
      </c>
      <c r="F130" s="2"/>
      <c r="G130" s="63" t="s">
        <v>60</v>
      </c>
      <c r="H130" s="63"/>
      <c r="I130" s="54"/>
      <c r="J130" s="55" t="s">
        <v>59</v>
      </c>
      <c r="K130" s="56">
        <f>K96</f>
        <v>26571</v>
      </c>
    </row>
    <row r="131" spans="2:23" x14ac:dyDescent="0.25">
      <c r="B131" s="57" t="s">
        <v>61</v>
      </c>
      <c r="C131" s="2"/>
      <c r="D131" s="52"/>
      <c r="E131" s="58"/>
      <c r="F131" s="2"/>
      <c r="G131" s="269" t="s">
        <v>61</v>
      </c>
      <c r="H131" s="269"/>
      <c r="I131" s="54"/>
      <c r="J131" s="55"/>
      <c r="K131" s="54"/>
    </row>
    <row r="132" spans="2:23" x14ac:dyDescent="0.25">
      <c r="B132" s="57" t="s">
        <v>62</v>
      </c>
      <c r="C132" s="2"/>
      <c r="D132" s="52" t="s">
        <v>59</v>
      </c>
      <c r="E132" s="229">
        <v>3502.15</v>
      </c>
      <c r="F132" s="2"/>
      <c r="G132" s="269" t="s">
        <v>62</v>
      </c>
      <c r="H132" s="269"/>
      <c r="I132" s="54"/>
      <c r="J132" s="55" t="s">
        <v>59</v>
      </c>
      <c r="K132" s="230">
        <v>4500</v>
      </c>
      <c r="Q132" s="66" t="s">
        <v>66</v>
      </c>
      <c r="R132" s="66" t="s">
        <v>93</v>
      </c>
      <c r="S132" s="66" t="s">
        <v>94</v>
      </c>
      <c r="T132" s="66" t="s">
        <v>70</v>
      </c>
      <c r="V132" s="66" t="s">
        <v>78</v>
      </c>
    </row>
    <row r="133" spans="2:23" ht="15.75" x14ac:dyDescent="0.25">
      <c r="B133" s="60" t="s">
        <v>63</v>
      </c>
      <c r="C133" s="39"/>
      <c r="D133" s="39"/>
      <c r="E133" s="61">
        <f>E130+E131-E132</f>
        <v>24397.93</v>
      </c>
      <c r="F133" s="2"/>
      <c r="G133" s="62" t="s">
        <v>64</v>
      </c>
      <c r="H133" s="62"/>
      <c r="J133" s="54" t="s">
        <v>59</v>
      </c>
      <c r="K133" s="62">
        <f>K130+K131-K132</f>
        <v>22071</v>
      </c>
      <c r="Q133" s="65"/>
      <c r="R133" s="65"/>
      <c r="S133" s="65"/>
      <c r="T133" s="65"/>
      <c r="V133" t="s">
        <v>97</v>
      </c>
    </row>
    <row r="134" spans="2:23" x14ac:dyDescent="0.25">
      <c r="Q134" s="65"/>
      <c r="R134" s="65"/>
      <c r="S134" s="65"/>
      <c r="T134" s="65"/>
    </row>
    <row r="135" spans="2:23" x14ac:dyDescent="0.25">
      <c r="Q135" s="65"/>
      <c r="R135" s="65"/>
      <c r="S135" s="65"/>
      <c r="T135" s="65"/>
      <c r="W135">
        <v>6900</v>
      </c>
    </row>
    <row r="136" spans="2:23" x14ac:dyDescent="0.25">
      <c r="K136" s="228" t="s">
        <v>308</v>
      </c>
      <c r="Q136" s="65"/>
      <c r="R136" s="65"/>
      <c r="S136" s="65"/>
      <c r="T136" s="65"/>
    </row>
    <row r="137" spans="2:23" x14ac:dyDescent="0.25">
      <c r="B137" s="69" t="s">
        <v>14</v>
      </c>
      <c r="C137" s="74" t="s">
        <v>75</v>
      </c>
      <c r="D137" s="74" t="s">
        <v>71</v>
      </c>
      <c r="E137" s="81" t="s">
        <v>18</v>
      </c>
      <c r="F137" s="74" t="s">
        <v>16</v>
      </c>
      <c r="G137" s="89" t="s">
        <v>76</v>
      </c>
      <c r="I137" s="64" t="s">
        <v>65</v>
      </c>
      <c r="K137" s="66" t="s">
        <v>71</v>
      </c>
      <c r="L137" s="66" t="s">
        <v>72</v>
      </c>
      <c r="M137" s="66" t="s">
        <v>73</v>
      </c>
      <c r="Q137" s="98">
        <v>4500</v>
      </c>
      <c r="R137" s="98">
        <v>9700</v>
      </c>
      <c r="S137" s="98">
        <v>39045</v>
      </c>
      <c r="T137" s="98">
        <v>6000</v>
      </c>
      <c r="V137" s="98"/>
    </row>
    <row r="138" spans="2:23" x14ac:dyDescent="0.25">
      <c r="B138" s="100" t="s">
        <v>246</v>
      </c>
      <c r="C138" s="101" t="s">
        <v>247</v>
      </c>
      <c r="D138" s="102">
        <v>529.9</v>
      </c>
      <c r="E138" s="103">
        <v>2501.13</v>
      </c>
      <c r="F138" s="102" t="s">
        <v>248</v>
      </c>
      <c r="G138" s="96" t="s">
        <v>204</v>
      </c>
      <c r="H138" s="91" t="s">
        <v>301</v>
      </c>
    </row>
    <row r="139" spans="2:23" x14ac:dyDescent="0.25">
      <c r="B139" s="71" t="s">
        <v>261</v>
      </c>
      <c r="C139" s="76" t="s">
        <v>262</v>
      </c>
      <c r="D139" s="80">
        <v>382</v>
      </c>
      <c r="E139" s="83">
        <v>1803.04</v>
      </c>
      <c r="F139" s="119" t="s">
        <v>242</v>
      </c>
      <c r="G139" s="117" t="s">
        <v>204</v>
      </c>
      <c r="H139" t="s">
        <v>305</v>
      </c>
      <c r="I139" s="65" t="s">
        <v>66</v>
      </c>
      <c r="J139" s="65" t="s">
        <v>59</v>
      </c>
      <c r="K139" s="67">
        <v>3820</v>
      </c>
      <c r="L139" s="67">
        <v>6.5</v>
      </c>
      <c r="M139" s="65">
        <f>K139*L139</f>
        <v>24830</v>
      </c>
    </row>
    <row r="140" spans="2:23" x14ac:dyDescent="0.25">
      <c r="B140" s="116" t="s">
        <v>266</v>
      </c>
      <c r="C140" s="117" t="s">
        <v>267</v>
      </c>
      <c r="D140" s="117">
        <v>18.2</v>
      </c>
      <c r="E140" s="118">
        <v>85.9</v>
      </c>
      <c r="F140" s="26" t="s">
        <v>237</v>
      </c>
      <c r="G140" s="150" t="s">
        <v>204</v>
      </c>
      <c r="H140" t="s">
        <v>304</v>
      </c>
      <c r="I140" s="65" t="s">
        <v>67</v>
      </c>
      <c r="J140" s="65" t="s">
        <v>59</v>
      </c>
      <c r="K140" s="67">
        <v>275</v>
      </c>
      <c r="L140" s="67">
        <v>7.4</v>
      </c>
      <c r="M140" s="65">
        <f t="shared" ref="M140:M141" si="15">K140*L140</f>
        <v>2035</v>
      </c>
    </row>
    <row r="141" spans="2:23" x14ac:dyDescent="0.25">
      <c r="B141" s="72" t="s">
        <v>263</v>
      </c>
      <c r="C141" s="28" t="s">
        <v>264</v>
      </c>
      <c r="D141" s="26">
        <v>70.45</v>
      </c>
      <c r="E141" s="84">
        <v>332.52</v>
      </c>
      <c r="F141" s="26" t="s">
        <v>265</v>
      </c>
      <c r="G141" s="90" t="s">
        <v>204</v>
      </c>
      <c r="H141" t="s">
        <v>301</v>
      </c>
      <c r="I141" s="65" t="s">
        <v>68</v>
      </c>
      <c r="J141" s="65" t="s">
        <v>59</v>
      </c>
      <c r="K141" s="67">
        <v>400</v>
      </c>
      <c r="L141" s="67">
        <v>6.2</v>
      </c>
      <c r="M141" s="65">
        <f t="shared" si="15"/>
        <v>2480</v>
      </c>
    </row>
    <row r="142" spans="2:23" x14ac:dyDescent="0.25">
      <c r="B142" s="72" t="s">
        <v>268</v>
      </c>
      <c r="C142" s="28" t="s">
        <v>269</v>
      </c>
      <c r="D142" s="26">
        <v>122.4</v>
      </c>
      <c r="E142" s="84">
        <v>557.73</v>
      </c>
      <c r="F142" s="26" t="s">
        <v>270</v>
      </c>
      <c r="G142" s="90" t="s">
        <v>204</v>
      </c>
      <c r="H142" s="91" t="s">
        <v>300</v>
      </c>
      <c r="I142" s="65" t="s">
        <v>69</v>
      </c>
      <c r="J142" s="65" t="s">
        <v>59</v>
      </c>
      <c r="K142" s="68"/>
      <c r="L142" s="68"/>
      <c r="M142" s="65">
        <v>9700</v>
      </c>
    </row>
    <row r="143" spans="2:23" x14ac:dyDescent="0.25">
      <c r="B143" s="241" t="s">
        <v>268</v>
      </c>
      <c r="C143" s="242" t="s">
        <v>273</v>
      </c>
      <c r="D143" s="243">
        <v>55</v>
      </c>
      <c r="E143" s="244">
        <v>259.60000000000002</v>
      </c>
      <c r="F143" s="243" t="s">
        <v>274</v>
      </c>
      <c r="G143" s="215" t="s">
        <v>204</v>
      </c>
      <c r="H143" t="s">
        <v>160</v>
      </c>
      <c r="I143" s="65"/>
      <c r="J143" s="65"/>
      <c r="K143" s="68">
        <f>SUM(K139:K142)</f>
        <v>4495</v>
      </c>
      <c r="L143" s="68"/>
      <c r="M143" s="65"/>
    </row>
    <row r="144" spans="2:23" x14ac:dyDescent="0.25">
      <c r="B144" s="72" t="s">
        <v>275</v>
      </c>
      <c r="C144" s="77" t="s">
        <v>276</v>
      </c>
      <c r="D144" s="77">
        <v>147.4</v>
      </c>
      <c r="E144" s="85">
        <v>695.8</v>
      </c>
      <c r="F144" s="26" t="s">
        <v>277</v>
      </c>
      <c r="G144" s="200" t="s">
        <v>204</v>
      </c>
      <c r="H144" s="92" t="s">
        <v>300</v>
      </c>
      <c r="I144" s="65" t="s">
        <v>70</v>
      </c>
      <c r="J144" s="110">
        <v>6000</v>
      </c>
      <c r="K144" s="65"/>
      <c r="L144" s="65"/>
      <c r="M144" s="65"/>
    </row>
    <row r="145" spans="2:14" x14ac:dyDescent="0.25">
      <c r="B145" s="245" t="s">
        <v>278</v>
      </c>
      <c r="C145" s="246" t="s">
        <v>279</v>
      </c>
      <c r="D145" s="246">
        <v>223.7</v>
      </c>
      <c r="E145" s="247">
        <v>1315.46</v>
      </c>
      <c r="F145" s="248" t="s">
        <v>280</v>
      </c>
      <c r="G145" s="150" t="s">
        <v>204</v>
      </c>
      <c r="H145" s="115" t="s">
        <v>305</v>
      </c>
      <c r="I145" s="65"/>
      <c r="J145" s="110"/>
      <c r="K145" s="65"/>
      <c r="L145" s="65"/>
      <c r="M145" s="65">
        <f>SUM(M139:M144)</f>
        <v>39045</v>
      </c>
    </row>
    <row r="146" spans="2:14" x14ac:dyDescent="0.25">
      <c r="B146" s="249" t="s">
        <v>281</v>
      </c>
      <c r="C146" s="195" t="s">
        <v>282</v>
      </c>
      <c r="D146" s="195">
        <v>146.30000000000001</v>
      </c>
      <c r="E146" s="250">
        <v>690.54</v>
      </c>
      <c r="F146" s="234" t="s">
        <v>283</v>
      </c>
      <c r="G146" s="117" t="s">
        <v>204</v>
      </c>
      <c r="H146" t="s">
        <v>300</v>
      </c>
      <c r="I146" s="65"/>
      <c r="J146" s="110"/>
      <c r="K146" s="65"/>
      <c r="L146" s="65"/>
      <c r="M146" s="65"/>
    </row>
    <row r="147" spans="2:14" x14ac:dyDescent="0.25">
      <c r="B147" s="245" t="s">
        <v>281</v>
      </c>
      <c r="C147" s="246" t="s">
        <v>284</v>
      </c>
      <c r="D147" s="246">
        <v>352</v>
      </c>
      <c r="E147" s="247">
        <v>1661.44</v>
      </c>
      <c r="F147" s="248" t="s">
        <v>285</v>
      </c>
      <c r="G147" s="150" t="s">
        <v>204</v>
      </c>
      <c r="H147" t="s">
        <v>305</v>
      </c>
      <c r="I147" s="65"/>
      <c r="J147" s="112"/>
      <c r="K147" s="98"/>
      <c r="L147" s="98"/>
      <c r="M147" s="112"/>
      <c r="N147" s="106"/>
    </row>
    <row r="148" spans="2:14" x14ac:dyDescent="0.25">
      <c r="B148" s="116" t="s">
        <v>286</v>
      </c>
      <c r="C148" s="117" t="s">
        <v>287</v>
      </c>
      <c r="D148" s="117">
        <v>412.2</v>
      </c>
      <c r="E148" s="118">
        <v>1945.58</v>
      </c>
      <c r="F148" s="26" t="s">
        <v>288</v>
      </c>
      <c r="G148" s="182" t="s">
        <v>204</v>
      </c>
      <c r="H148" t="s">
        <v>304</v>
      </c>
      <c r="J148" s="113"/>
      <c r="K148" s="106" t="s">
        <v>98</v>
      </c>
      <c r="L148" s="106"/>
      <c r="M148" s="106"/>
      <c r="N148" s="106"/>
    </row>
    <row r="149" spans="2:14" x14ac:dyDescent="0.25">
      <c r="B149" s="249" t="s">
        <v>289</v>
      </c>
      <c r="C149" s="195" t="s">
        <v>290</v>
      </c>
      <c r="D149" s="195">
        <v>118.2</v>
      </c>
      <c r="E149" s="250">
        <v>557.9</v>
      </c>
      <c r="F149" s="26" t="s">
        <v>291</v>
      </c>
      <c r="G149" s="150" t="s">
        <v>204</v>
      </c>
      <c r="H149" t="s">
        <v>305</v>
      </c>
      <c r="J149" s="113"/>
      <c r="K149" s="106"/>
      <c r="L149" s="106"/>
      <c r="M149" s="106"/>
      <c r="N149" s="106"/>
    </row>
    <row r="150" spans="2:14" x14ac:dyDescent="0.25">
      <c r="B150" s="116" t="s">
        <v>292</v>
      </c>
      <c r="C150" s="117" t="s">
        <v>293</v>
      </c>
      <c r="D150" s="117">
        <v>663.4</v>
      </c>
      <c r="E150" s="118">
        <v>3131.25</v>
      </c>
      <c r="F150" s="119" t="s">
        <v>294</v>
      </c>
      <c r="G150" s="150" t="s">
        <v>204</v>
      </c>
      <c r="H150" t="s">
        <v>502</v>
      </c>
      <c r="J150" s="113"/>
      <c r="K150" s="106"/>
      <c r="L150" s="106"/>
      <c r="M150" s="106"/>
      <c r="N150" s="106"/>
    </row>
    <row r="151" spans="2:14" x14ac:dyDescent="0.25">
      <c r="B151" s="116" t="s">
        <v>292</v>
      </c>
      <c r="C151" s="117" t="s">
        <v>295</v>
      </c>
      <c r="D151" s="117">
        <v>383</v>
      </c>
      <c r="E151" s="118">
        <v>1807</v>
      </c>
      <c r="F151" s="119" t="s">
        <v>296</v>
      </c>
      <c r="G151" s="117" t="s">
        <v>204</v>
      </c>
      <c r="H151" s="204" t="s">
        <v>304</v>
      </c>
      <c r="J151" s="111" t="s">
        <v>145</v>
      </c>
      <c r="K151" s="106"/>
      <c r="L151" s="106"/>
      <c r="M151" s="106"/>
      <c r="N151" s="106"/>
    </row>
    <row r="152" spans="2:14" x14ac:dyDescent="0.25">
      <c r="B152" s="116" t="s">
        <v>297</v>
      </c>
      <c r="C152" s="117" t="s">
        <v>298</v>
      </c>
      <c r="D152" s="117">
        <v>179.4</v>
      </c>
      <c r="E152" s="118">
        <v>846.77</v>
      </c>
      <c r="F152" s="119" t="s">
        <v>299</v>
      </c>
      <c r="G152" s="117" t="s">
        <v>204</v>
      </c>
      <c r="H152" s="115" t="s">
        <v>301</v>
      </c>
    </row>
    <row r="153" spans="2:14" x14ac:dyDescent="0.25">
      <c r="B153" s="116" t="s">
        <v>297</v>
      </c>
      <c r="C153" s="117" t="s">
        <v>302</v>
      </c>
      <c r="D153" s="117">
        <v>60</v>
      </c>
      <c r="E153" s="118">
        <v>283.2</v>
      </c>
      <c r="F153" s="119" t="s">
        <v>303</v>
      </c>
      <c r="G153" s="117" t="s">
        <v>204</v>
      </c>
      <c r="H153" s="204" t="s">
        <v>167</v>
      </c>
    </row>
    <row r="154" spans="2:14" x14ac:dyDescent="0.25">
      <c r="B154" s="116"/>
      <c r="C154" s="117"/>
      <c r="D154" s="117"/>
      <c r="E154" s="118"/>
      <c r="F154" s="119"/>
      <c r="G154" s="117"/>
      <c r="M154">
        <f>SUM(M149:M153)</f>
        <v>0</v>
      </c>
    </row>
    <row r="155" spans="2:14" x14ac:dyDescent="0.25">
      <c r="B155" s="72"/>
      <c r="C155" s="77"/>
      <c r="D155" s="77"/>
      <c r="E155" s="85"/>
      <c r="F155" s="26"/>
      <c r="G155" s="117"/>
    </row>
    <row r="156" spans="2:14" x14ac:dyDescent="0.25">
      <c r="B156" s="72"/>
      <c r="C156" s="77"/>
      <c r="D156" s="77"/>
      <c r="E156" s="85"/>
      <c r="F156" s="26"/>
      <c r="G156" s="117"/>
    </row>
    <row r="157" spans="2:14" x14ac:dyDescent="0.25">
      <c r="B157" s="72"/>
      <c r="C157" s="77"/>
      <c r="D157" s="77"/>
      <c r="E157" s="85">
        <f>SUM(E138:E156)</f>
        <v>18474.86</v>
      </c>
      <c r="F157" s="26"/>
      <c r="G157" s="40"/>
    </row>
    <row r="158" spans="2:14" x14ac:dyDescent="0.25">
      <c r="B158" s="73"/>
      <c r="C158" s="78"/>
      <c r="D158" s="78"/>
      <c r="E158" s="87"/>
      <c r="F158" s="59"/>
      <c r="G158" s="39"/>
    </row>
    <row r="159" spans="2:14" x14ac:dyDescent="0.25">
      <c r="B159" s="8"/>
      <c r="C159" s="39"/>
      <c r="D159" s="39"/>
      <c r="E159" s="50"/>
      <c r="F159" s="2"/>
      <c r="G159" s="39"/>
    </row>
    <row r="160" spans="2:14" x14ac:dyDescent="0.25">
      <c r="B160" s="270" t="s">
        <v>74</v>
      </c>
      <c r="C160" s="270"/>
      <c r="D160" s="137">
        <f>SUM(D138:D159)</f>
        <v>3863.55</v>
      </c>
      <c r="E160" s="50"/>
      <c r="F160" s="2"/>
      <c r="G160" s="39"/>
    </row>
    <row r="164" spans="2:22" ht="15.75" x14ac:dyDescent="0.25">
      <c r="B164" s="41"/>
      <c r="C164" s="42"/>
      <c r="D164" s="42"/>
      <c r="E164" s="43" t="s">
        <v>390</v>
      </c>
      <c r="F164" s="44"/>
      <c r="G164" s="45"/>
      <c r="H164" s="46"/>
      <c r="I164" s="47"/>
      <c r="J164" s="43" t="s">
        <v>390</v>
      </c>
      <c r="K164" s="47"/>
      <c r="L164" s="49"/>
      <c r="M164" s="49"/>
    </row>
    <row r="165" spans="2:22" x14ac:dyDescent="0.25">
      <c r="B165" s="8"/>
      <c r="C165" s="39"/>
      <c r="D165" s="39"/>
      <c r="E165" s="50"/>
      <c r="F165" s="2"/>
      <c r="G165" s="39"/>
    </row>
    <row r="166" spans="2:22" ht="15.75" x14ac:dyDescent="0.25">
      <c r="B166" s="51" t="s">
        <v>58</v>
      </c>
      <c r="C166" s="2"/>
      <c r="D166" s="52" t="s">
        <v>59</v>
      </c>
      <c r="E166" s="53">
        <f>E133</f>
        <v>24397.93</v>
      </c>
      <c r="F166" s="2"/>
      <c r="G166" s="63" t="s">
        <v>60</v>
      </c>
      <c r="H166" s="63"/>
      <c r="I166" s="54"/>
      <c r="J166" s="55" t="s">
        <v>59</v>
      </c>
      <c r="K166" s="56">
        <f>K133</f>
        <v>22071</v>
      </c>
    </row>
    <row r="167" spans="2:22" x14ac:dyDescent="0.25">
      <c r="B167" s="57" t="s">
        <v>61</v>
      </c>
      <c r="C167" s="2">
        <v>2</v>
      </c>
      <c r="D167" s="52"/>
      <c r="E167" s="58">
        <f>3582+143</f>
        <v>3725</v>
      </c>
      <c r="F167" s="2"/>
      <c r="G167" s="269" t="s">
        <v>61</v>
      </c>
      <c r="H167" s="269"/>
      <c r="I167" s="54">
        <v>2</v>
      </c>
      <c r="J167" s="55" t="s">
        <v>59</v>
      </c>
      <c r="K167" s="54">
        <v>3725</v>
      </c>
    </row>
    <row r="168" spans="2:22" x14ac:dyDescent="0.25">
      <c r="B168" s="57" t="s">
        <v>62</v>
      </c>
      <c r="C168" s="2"/>
      <c r="D168" s="52" t="s">
        <v>59</v>
      </c>
      <c r="E168" s="58">
        <v>6491.1</v>
      </c>
      <c r="F168" s="2"/>
      <c r="G168" s="269" t="s">
        <v>62</v>
      </c>
      <c r="H168" s="269"/>
      <c r="I168" s="54"/>
      <c r="J168" s="55" t="s">
        <v>59</v>
      </c>
      <c r="K168" s="54">
        <v>3865</v>
      </c>
    </row>
    <row r="169" spans="2:22" ht="15.75" x14ac:dyDescent="0.25">
      <c r="B169" s="60" t="s">
        <v>63</v>
      </c>
      <c r="C169" s="39"/>
      <c r="D169" s="39"/>
      <c r="E169" s="61">
        <f>E166+E167-E168</f>
        <v>21631.83</v>
      </c>
      <c r="F169" s="2"/>
      <c r="G169" s="62" t="s">
        <v>64</v>
      </c>
      <c r="H169" s="62"/>
      <c r="J169" s="54" t="s">
        <v>59</v>
      </c>
      <c r="K169" s="62">
        <f>K166+K167-K168</f>
        <v>21931</v>
      </c>
    </row>
    <row r="171" spans="2:22" x14ac:dyDescent="0.25">
      <c r="K171" t="s">
        <v>168</v>
      </c>
    </row>
    <row r="173" spans="2:22" x14ac:dyDescent="0.25">
      <c r="B173" s="69" t="s">
        <v>14</v>
      </c>
      <c r="C173" s="74" t="s">
        <v>75</v>
      </c>
      <c r="D173" s="74" t="s">
        <v>71</v>
      </c>
      <c r="E173" s="81" t="s">
        <v>18</v>
      </c>
      <c r="F173" s="74" t="s">
        <v>16</v>
      </c>
      <c r="G173" s="89" t="s">
        <v>76</v>
      </c>
      <c r="I173" s="64" t="s">
        <v>65</v>
      </c>
      <c r="K173" s="66" t="s">
        <v>71</v>
      </c>
      <c r="L173" s="66" t="s">
        <v>72</v>
      </c>
      <c r="M173" s="66" t="s">
        <v>73</v>
      </c>
    </row>
    <row r="174" spans="2:22" x14ac:dyDescent="0.25">
      <c r="B174" s="100" t="s">
        <v>309</v>
      </c>
      <c r="C174" s="101" t="s">
        <v>310</v>
      </c>
      <c r="D174" s="102">
        <v>288.7</v>
      </c>
      <c r="E174" s="103">
        <v>1362.66</v>
      </c>
      <c r="F174" s="102" t="s">
        <v>248</v>
      </c>
      <c r="G174" s="96" t="s">
        <v>204</v>
      </c>
      <c r="H174" s="91" t="s">
        <v>304</v>
      </c>
    </row>
    <row r="175" spans="2:22" x14ac:dyDescent="0.25">
      <c r="B175" s="71" t="s">
        <v>311</v>
      </c>
      <c r="C175" s="76" t="s">
        <v>312</v>
      </c>
      <c r="D175" s="80">
        <v>366.6</v>
      </c>
      <c r="E175" s="83">
        <v>1730</v>
      </c>
      <c r="F175" s="88" t="s">
        <v>313</v>
      </c>
      <c r="G175" s="90" t="s">
        <v>325</v>
      </c>
      <c r="H175" t="s">
        <v>305</v>
      </c>
      <c r="I175" s="65" t="s">
        <v>66</v>
      </c>
      <c r="J175" s="65" t="s">
        <v>59</v>
      </c>
      <c r="K175" s="67">
        <v>3125</v>
      </c>
      <c r="L175" s="67">
        <v>6.9</v>
      </c>
      <c r="M175" s="65">
        <f>K175*L175</f>
        <v>21562.5</v>
      </c>
      <c r="Q175" s="66" t="s">
        <v>66</v>
      </c>
      <c r="R175" s="66" t="s">
        <v>93</v>
      </c>
      <c r="S175" s="66" t="s">
        <v>94</v>
      </c>
      <c r="T175" s="66" t="s">
        <v>70</v>
      </c>
      <c r="V175" s="66" t="s">
        <v>78</v>
      </c>
    </row>
    <row r="176" spans="2:22" x14ac:dyDescent="0.25">
      <c r="B176" s="72" t="s">
        <v>314</v>
      </c>
      <c r="C176" s="28" t="s">
        <v>315</v>
      </c>
      <c r="D176" s="26">
        <v>273.2</v>
      </c>
      <c r="E176" s="84">
        <v>1289.5</v>
      </c>
      <c r="F176" s="26" t="s">
        <v>316</v>
      </c>
      <c r="G176" s="90" t="s">
        <v>204</v>
      </c>
      <c r="H176" t="s">
        <v>301</v>
      </c>
      <c r="I176" s="65" t="s">
        <v>67</v>
      </c>
      <c r="J176" s="65" t="s">
        <v>59</v>
      </c>
      <c r="K176" s="67">
        <v>563</v>
      </c>
      <c r="L176" s="67">
        <v>7.7</v>
      </c>
      <c r="M176" s="65">
        <f t="shared" ref="M176:M177" si="16">K176*L176</f>
        <v>4335.1000000000004</v>
      </c>
      <c r="Q176" s="65"/>
      <c r="R176" s="65"/>
      <c r="S176" s="65"/>
      <c r="T176" s="65"/>
    </row>
    <row r="177" spans="1:23" x14ac:dyDescent="0.25">
      <c r="B177" s="125" t="s">
        <v>314</v>
      </c>
      <c r="C177" s="76" t="s">
        <v>317</v>
      </c>
      <c r="D177" s="80">
        <v>211.9</v>
      </c>
      <c r="E177" s="83">
        <v>1000.17</v>
      </c>
      <c r="F177" s="80" t="s">
        <v>318</v>
      </c>
      <c r="G177" s="90" t="s">
        <v>204</v>
      </c>
      <c r="H177" t="s">
        <v>301</v>
      </c>
      <c r="I177" s="65" t="s">
        <v>68</v>
      </c>
      <c r="J177" s="65" t="s">
        <v>59</v>
      </c>
      <c r="K177" s="67">
        <v>177</v>
      </c>
      <c r="L177" s="67">
        <v>6.8</v>
      </c>
      <c r="M177" s="65">
        <f t="shared" si="16"/>
        <v>1203.5999999999999</v>
      </c>
      <c r="Q177" s="65"/>
      <c r="R177" s="65"/>
      <c r="S177" s="65"/>
      <c r="T177" s="65"/>
    </row>
    <row r="178" spans="1:23" x14ac:dyDescent="0.25">
      <c r="B178" s="116" t="s">
        <v>314</v>
      </c>
      <c r="C178" s="117" t="s">
        <v>319</v>
      </c>
      <c r="D178" s="117">
        <v>1483.2</v>
      </c>
      <c r="E178" s="118">
        <v>7000.7</v>
      </c>
      <c r="F178" s="119" t="s">
        <v>294</v>
      </c>
      <c r="G178" s="150" t="s">
        <v>204</v>
      </c>
      <c r="H178" s="91" t="s">
        <v>301</v>
      </c>
      <c r="I178" s="65" t="s">
        <v>69</v>
      </c>
      <c r="J178" s="65" t="s">
        <v>59</v>
      </c>
      <c r="K178" s="68"/>
      <c r="L178" s="68"/>
      <c r="M178" s="65">
        <v>9710</v>
      </c>
      <c r="Q178" s="65"/>
      <c r="R178" s="65"/>
      <c r="S178" s="65"/>
      <c r="T178" s="65"/>
    </row>
    <row r="179" spans="1:23" x14ac:dyDescent="0.25">
      <c r="B179" s="72" t="s">
        <v>314</v>
      </c>
      <c r="C179" s="28" t="s">
        <v>320</v>
      </c>
      <c r="D179" s="26">
        <v>201.8</v>
      </c>
      <c r="E179" s="84">
        <v>952.5</v>
      </c>
      <c r="F179" s="154" t="s">
        <v>248</v>
      </c>
      <c r="G179" s="77" t="s">
        <v>204</v>
      </c>
      <c r="H179" t="s">
        <v>304</v>
      </c>
      <c r="I179" s="65"/>
      <c r="J179" s="65"/>
      <c r="K179" s="68">
        <f>SUM(K174:K178)</f>
        <v>3865</v>
      </c>
      <c r="L179" s="68"/>
      <c r="M179" s="110"/>
      <c r="Q179" s="65"/>
      <c r="R179" s="65"/>
      <c r="S179" s="65"/>
      <c r="T179" s="65"/>
    </row>
    <row r="180" spans="1:23" x14ac:dyDescent="0.25">
      <c r="B180" s="116" t="s">
        <v>322</v>
      </c>
      <c r="C180" s="117" t="s">
        <v>323</v>
      </c>
      <c r="D180" s="117">
        <v>530</v>
      </c>
      <c r="E180" s="118">
        <v>2501.6</v>
      </c>
      <c r="F180" s="119" t="s">
        <v>294</v>
      </c>
      <c r="G180" s="150" t="s">
        <v>204</v>
      </c>
      <c r="H180" t="s">
        <v>301</v>
      </c>
      <c r="I180" s="65" t="s">
        <v>70</v>
      </c>
      <c r="J180" s="98">
        <v>5600</v>
      </c>
      <c r="K180" s="65"/>
      <c r="L180" s="65"/>
      <c r="M180" s="98">
        <f>SUM(M175:M179)</f>
        <v>36811.199999999997</v>
      </c>
      <c r="Q180" s="98">
        <v>3865</v>
      </c>
      <c r="R180" s="98">
        <v>9710</v>
      </c>
      <c r="S180" s="98">
        <v>38242</v>
      </c>
      <c r="T180" s="98">
        <v>5600</v>
      </c>
      <c r="V180" s="98">
        <v>1230</v>
      </c>
      <c r="W180" s="98">
        <v>3600</v>
      </c>
    </row>
    <row r="181" spans="1:23" x14ac:dyDescent="0.25">
      <c r="B181" s="125" t="s">
        <v>326</v>
      </c>
      <c r="C181" s="76" t="s">
        <v>327</v>
      </c>
      <c r="D181" s="80">
        <v>60</v>
      </c>
      <c r="E181" s="83">
        <v>283.2</v>
      </c>
      <c r="F181" s="80" t="s">
        <v>318</v>
      </c>
      <c r="G181" s="90" t="s">
        <v>204</v>
      </c>
      <c r="H181" t="s">
        <v>305</v>
      </c>
      <c r="I181" s="65"/>
      <c r="J181" s="65"/>
      <c r="K181" s="65"/>
      <c r="L181" s="65"/>
      <c r="M181" s="98">
        <v>1430</v>
      </c>
    </row>
    <row r="182" spans="1:23" x14ac:dyDescent="0.25">
      <c r="B182" s="249" t="s">
        <v>328</v>
      </c>
      <c r="C182" s="195" t="s">
        <v>329</v>
      </c>
      <c r="D182" s="195">
        <v>90.8</v>
      </c>
      <c r="E182" s="250">
        <v>428.58</v>
      </c>
      <c r="F182" s="26" t="s">
        <v>291</v>
      </c>
      <c r="G182" s="150" t="s">
        <v>204</v>
      </c>
      <c r="H182" t="s">
        <v>301</v>
      </c>
      <c r="I182" s="65"/>
      <c r="J182" s="65"/>
      <c r="K182" s="65"/>
      <c r="L182" s="65" t="s">
        <v>140</v>
      </c>
      <c r="M182" s="112">
        <f>SUM(M180:M181)</f>
        <v>38241.199999999997</v>
      </c>
    </row>
    <row r="183" spans="1:23" x14ac:dyDescent="0.25">
      <c r="A183" s="106"/>
      <c r="B183" s="121" t="s">
        <v>330</v>
      </c>
      <c r="C183" s="122" t="s">
        <v>331</v>
      </c>
      <c r="D183" s="122">
        <v>680</v>
      </c>
      <c r="E183" s="123">
        <v>3209.6</v>
      </c>
      <c r="F183" s="124" t="s">
        <v>332</v>
      </c>
      <c r="G183" s="117" t="s">
        <v>204</v>
      </c>
      <c r="H183" t="s">
        <v>300</v>
      </c>
      <c r="I183" s="65"/>
      <c r="J183" s="65"/>
      <c r="K183" s="65"/>
      <c r="L183" s="65" t="s">
        <v>85</v>
      </c>
      <c r="M183" s="65"/>
      <c r="N183" s="92"/>
      <c r="O183" s="92"/>
    </row>
    <row r="184" spans="1:23" x14ac:dyDescent="0.25">
      <c r="B184" s="116" t="s">
        <v>333</v>
      </c>
      <c r="C184" s="117" t="s">
        <v>334</v>
      </c>
      <c r="D184" s="117">
        <v>62.5</v>
      </c>
      <c r="E184" s="118">
        <v>295</v>
      </c>
      <c r="F184" s="119" t="s">
        <v>335</v>
      </c>
      <c r="G184" s="117" t="s">
        <v>204</v>
      </c>
      <c r="J184" s="108"/>
      <c r="K184" s="92" t="s">
        <v>99</v>
      </c>
      <c r="L184" s="92">
        <v>171</v>
      </c>
      <c r="M184" s="92">
        <v>5.9</v>
      </c>
      <c r="N184" s="92">
        <f>L184*M184</f>
        <v>1008.9000000000001</v>
      </c>
      <c r="O184" s="92"/>
    </row>
    <row r="185" spans="1:23" x14ac:dyDescent="0.25">
      <c r="B185" s="116" t="s">
        <v>333</v>
      </c>
      <c r="C185" s="117" t="s">
        <v>336</v>
      </c>
      <c r="D185" s="117">
        <v>1569</v>
      </c>
      <c r="E185" s="118">
        <v>7405.68</v>
      </c>
      <c r="F185" s="26" t="s">
        <v>288</v>
      </c>
      <c r="G185" s="182" t="s">
        <v>204</v>
      </c>
      <c r="H185" t="s">
        <v>300</v>
      </c>
      <c r="J185" s="92"/>
      <c r="K185" s="92" t="s">
        <v>100</v>
      </c>
      <c r="L185" s="92">
        <v>143</v>
      </c>
      <c r="M185" s="92">
        <v>1.4</v>
      </c>
      <c r="N185" s="92">
        <f>L185*M185</f>
        <v>200.2</v>
      </c>
      <c r="O185" s="92"/>
    </row>
    <row r="186" spans="1:23" x14ac:dyDescent="0.25">
      <c r="B186" s="116" t="s">
        <v>337</v>
      </c>
      <c r="C186" s="117" t="s">
        <v>338</v>
      </c>
      <c r="D186" s="117">
        <v>313.2</v>
      </c>
      <c r="E186" s="118">
        <v>1478.3</v>
      </c>
      <c r="F186" s="119" t="s">
        <v>339</v>
      </c>
      <c r="G186" s="150" t="s">
        <v>204</v>
      </c>
      <c r="J186" s="92"/>
      <c r="K186" s="92" t="s">
        <v>145</v>
      </c>
      <c r="L186" s="92">
        <v>22</v>
      </c>
      <c r="M186" s="92">
        <v>10</v>
      </c>
      <c r="N186" s="92">
        <f>L186*M186</f>
        <v>220</v>
      </c>
      <c r="O186" s="92"/>
    </row>
    <row r="187" spans="1:23" x14ac:dyDescent="0.25">
      <c r="B187" s="116" t="s">
        <v>340</v>
      </c>
      <c r="C187" s="117" t="s">
        <v>341</v>
      </c>
      <c r="D187" s="117">
        <v>360.2</v>
      </c>
      <c r="E187" s="118">
        <v>1700.14</v>
      </c>
      <c r="F187" s="119" t="s">
        <v>294</v>
      </c>
      <c r="G187" s="150" t="s">
        <v>204</v>
      </c>
      <c r="H187" t="s">
        <v>301</v>
      </c>
      <c r="J187" s="92"/>
      <c r="K187" s="92"/>
      <c r="L187" s="92"/>
      <c r="M187" s="92"/>
      <c r="N187" s="92"/>
      <c r="O187" s="92"/>
    </row>
    <row r="188" spans="1:23" x14ac:dyDescent="0.25">
      <c r="B188" s="10"/>
      <c r="C188" s="40"/>
      <c r="D188" s="40"/>
      <c r="E188" s="86"/>
      <c r="F188" s="4"/>
      <c r="G188" s="40"/>
      <c r="J188" s="92"/>
      <c r="K188" s="92"/>
      <c r="L188" s="92"/>
      <c r="M188" s="92"/>
      <c r="N188" s="111">
        <f>SUM(N184:N187)</f>
        <v>1429.1000000000001</v>
      </c>
      <c r="O188" s="92"/>
    </row>
    <row r="189" spans="1:23" x14ac:dyDescent="0.25">
      <c r="B189" s="10"/>
      <c r="C189" s="40"/>
      <c r="D189" s="40"/>
      <c r="E189" s="86"/>
      <c r="F189" s="4"/>
      <c r="G189" s="40"/>
      <c r="J189" s="92"/>
      <c r="K189" s="92"/>
      <c r="L189" s="92"/>
      <c r="M189" s="92"/>
      <c r="N189" s="92"/>
      <c r="O189" s="92"/>
    </row>
    <row r="190" spans="1:23" x14ac:dyDescent="0.25">
      <c r="B190" s="10"/>
      <c r="C190" s="40"/>
      <c r="D190" s="40"/>
      <c r="E190" s="86"/>
      <c r="F190" s="4"/>
      <c r="G190" s="40"/>
    </row>
    <row r="191" spans="1:23" x14ac:dyDescent="0.25">
      <c r="B191" s="72"/>
      <c r="C191" s="77"/>
      <c r="D191" s="77"/>
      <c r="E191" s="85"/>
      <c r="F191" s="26"/>
      <c r="G191" s="40"/>
    </row>
    <row r="192" spans="1:23" x14ac:dyDescent="0.25">
      <c r="B192" s="72"/>
      <c r="C192" s="77"/>
      <c r="D192" s="77"/>
      <c r="E192" s="85"/>
      <c r="F192" s="26"/>
      <c r="G192" s="40"/>
    </row>
    <row r="193" spans="2:13" x14ac:dyDescent="0.25">
      <c r="B193" s="72"/>
      <c r="C193" s="77"/>
      <c r="D193" s="77"/>
      <c r="E193" s="85"/>
      <c r="F193" s="26"/>
      <c r="G193" s="40"/>
    </row>
    <row r="194" spans="2:13" x14ac:dyDescent="0.25">
      <c r="B194" s="73"/>
      <c r="C194" s="78"/>
      <c r="D194" s="78"/>
      <c r="E194" s="87">
        <f>SUM(E174:E193)</f>
        <v>30637.629999999997</v>
      </c>
      <c r="F194" s="59"/>
      <c r="G194" s="39"/>
    </row>
    <row r="195" spans="2:13" x14ac:dyDescent="0.25">
      <c r="B195" s="8"/>
      <c r="C195" s="39"/>
      <c r="D195" s="39"/>
      <c r="E195" s="50"/>
      <c r="F195" s="2"/>
      <c r="G195" s="39"/>
    </row>
    <row r="196" spans="2:13" x14ac:dyDescent="0.25">
      <c r="B196" s="270" t="s">
        <v>74</v>
      </c>
      <c r="C196" s="270"/>
      <c r="D196" s="137">
        <f>SUM(D174:D195)</f>
        <v>6491.1</v>
      </c>
      <c r="E196" s="50"/>
      <c r="F196" s="2"/>
      <c r="G196" s="39"/>
    </row>
    <row r="197" spans="2:13" x14ac:dyDescent="0.25">
      <c r="B197" s="92"/>
      <c r="C197" s="92"/>
      <c r="D197" s="92"/>
    </row>
    <row r="200" spans="2:13" ht="15.75" x14ac:dyDescent="0.25">
      <c r="B200" s="41"/>
      <c r="C200" s="42"/>
      <c r="D200" s="42"/>
      <c r="E200" s="43" t="s">
        <v>389</v>
      </c>
      <c r="F200" s="44"/>
      <c r="G200" s="45"/>
      <c r="H200" s="46"/>
      <c r="I200" s="47"/>
      <c r="J200" s="43" t="s">
        <v>389</v>
      </c>
      <c r="K200" s="47"/>
      <c r="L200" s="49"/>
      <c r="M200" s="49"/>
    </row>
    <row r="201" spans="2:13" x14ac:dyDescent="0.25">
      <c r="B201" s="8"/>
      <c r="C201" s="39"/>
      <c r="D201" s="39"/>
      <c r="E201" s="50"/>
      <c r="F201" s="2"/>
      <c r="G201" s="39"/>
    </row>
    <row r="202" spans="2:13" ht="15.75" x14ac:dyDescent="0.25">
      <c r="B202" s="51" t="s">
        <v>58</v>
      </c>
      <c r="C202" s="2"/>
      <c r="D202" s="52" t="s">
        <v>59</v>
      </c>
      <c r="E202" s="53">
        <f>E169</f>
        <v>21631.83</v>
      </c>
      <c r="F202" s="2"/>
      <c r="G202" s="63" t="s">
        <v>60</v>
      </c>
      <c r="H202" s="63"/>
      <c r="I202" s="54"/>
      <c r="J202" s="55" t="s">
        <v>59</v>
      </c>
      <c r="K202" s="56">
        <f>K169</f>
        <v>21931</v>
      </c>
    </row>
    <row r="203" spans="2:13" x14ac:dyDescent="0.25">
      <c r="B203" s="57" t="s">
        <v>61</v>
      </c>
      <c r="C203" s="2">
        <v>3</v>
      </c>
      <c r="D203" s="52"/>
      <c r="E203" s="58">
        <v>11525</v>
      </c>
      <c r="F203" s="2"/>
      <c r="G203" s="269" t="s">
        <v>61</v>
      </c>
      <c r="H203" s="269"/>
      <c r="I203" s="54">
        <v>3</v>
      </c>
      <c r="J203" s="55" t="s">
        <v>59</v>
      </c>
      <c r="K203" s="54">
        <v>11525</v>
      </c>
    </row>
    <row r="204" spans="2:13" x14ac:dyDescent="0.25">
      <c r="B204" s="57" t="s">
        <v>62</v>
      </c>
      <c r="C204" s="2"/>
      <c r="D204" s="52" t="s">
        <v>59</v>
      </c>
      <c r="E204" s="58">
        <f>D232</f>
        <v>5400.6</v>
      </c>
      <c r="F204" s="2"/>
      <c r="G204" s="269" t="s">
        <v>62</v>
      </c>
      <c r="H204" s="269"/>
      <c r="I204" s="54"/>
      <c r="J204" s="55" t="s">
        <v>59</v>
      </c>
      <c r="K204" s="54">
        <v>6040</v>
      </c>
    </row>
    <row r="205" spans="2:13" ht="15.75" x14ac:dyDescent="0.25">
      <c r="B205" s="60" t="s">
        <v>63</v>
      </c>
      <c r="C205" s="39"/>
      <c r="D205" s="39"/>
      <c r="E205" s="61">
        <f>E202+E203-E204</f>
        <v>27756.230000000003</v>
      </c>
      <c r="F205" s="2"/>
      <c r="G205" s="62" t="s">
        <v>64</v>
      </c>
      <c r="H205" s="62"/>
      <c r="J205" s="54" t="s">
        <v>59</v>
      </c>
      <c r="K205" s="62">
        <f>K202+K203-K204</f>
        <v>27416</v>
      </c>
    </row>
    <row r="208" spans="2:13" x14ac:dyDescent="0.25">
      <c r="K208" s="129"/>
      <c r="L208" s="99">
        <v>46169</v>
      </c>
    </row>
    <row r="209" spans="2:23" x14ac:dyDescent="0.25">
      <c r="B209" s="69" t="s">
        <v>14</v>
      </c>
      <c r="C209" s="74" t="s">
        <v>75</v>
      </c>
      <c r="D209" s="74" t="s">
        <v>71</v>
      </c>
      <c r="E209" s="81" t="s">
        <v>18</v>
      </c>
      <c r="F209" s="74" t="s">
        <v>16</v>
      </c>
      <c r="G209" s="89" t="s">
        <v>76</v>
      </c>
      <c r="I209" s="64" t="s">
        <v>65</v>
      </c>
      <c r="K209" s="66" t="s">
        <v>71</v>
      </c>
      <c r="L209" s="66" t="s">
        <v>72</v>
      </c>
      <c r="M209" s="66" t="s">
        <v>73</v>
      </c>
    </row>
    <row r="210" spans="2:23" x14ac:dyDescent="0.25">
      <c r="B210" s="125" t="s">
        <v>342</v>
      </c>
      <c r="C210" s="76" t="s">
        <v>343</v>
      </c>
      <c r="D210" s="80">
        <v>55</v>
      </c>
      <c r="E210" s="83">
        <v>259.60000000000002</v>
      </c>
      <c r="F210" s="80" t="s">
        <v>318</v>
      </c>
      <c r="G210" s="90" t="s">
        <v>204</v>
      </c>
      <c r="H210" s="91" t="s">
        <v>305</v>
      </c>
      <c r="M210" s="106"/>
    </row>
    <row r="211" spans="2:23" x14ac:dyDescent="0.25">
      <c r="B211" s="71" t="s">
        <v>342</v>
      </c>
      <c r="C211" s="76" t="s">
        <v>344</v>
      </c>
      <c r="D211" s="80">
        <v>250</v>
      </c>
      <c r="E211" s="83">
        <v>1180</v>
      </c>
      <c r="F211" s="88" t="s">
        <v>231</v>
      </c>
      <c r="G211" s="90" t="s">
        <v>204</v>
      </c>
      <c r="H211" t="s">
        <v>305</v>
      </c>
      <c r="I211" s="65" t="s">
        <v>66</v>
      </c>
      <c r="J211" s="65" t="s">
        <v>59</v>
      </c>
      <c r="K211" s="67">
        <v>4600</v>
      </c>
      <c r="L211" s="67">
        <v>7.3</v>
      </c>
      <c r="M211" s="98">
        <f>K211*L211</f>
        <v>33580</v>
      </c>
    </row>
    <row r="212" spans="2:23" x14ac:dyDescent="0.25">
      <c r="B212" s="261" t="s">
        <v>342</v>
      </c>
      <c r="C212" s="150" t="s">
        <v>345</v>
      </c>
      <c r="D212" s="150">
        <v>63.5</v>
      </c>
      <c r="E212" s="262">
        <v>299.72000000000003</v>
      </c>
      <c r="F212" s="147" t="s">
        <v>339</v>
      </c>
      <c r="G212" s="150" t="s">
        <v>204</v>
      </c>
      <c r="H212" s="267" t="s">
        <v>305</v>
      </c>
      <c r="I212" s="65" t="s">
        <v>67</v>
      </c>
      <c r="J212" s="65" t="s">
        <v>59</v>
      </c>
      <c r="K212" s="67">
        <v>1030</v>
      </c>
      <c r="L212" s="67">
        <v>8.3000000000000007</v>
      </c>
      <c r="M212" s="98">
        <f t="shared" ref="M212:M213" si="17">K212*L212</f>
        <v>8549</v>
      </c>
      <c r="Q212" s="66" t="s">
        <v>66</v>
      </c>
      <c r="R212" s="66" t="s">
        <v>93</v>
      </c>
      <c r="S212" s="66" t="s">
        <v>94</v>
      </c>
      <c r="T212" s="66" t="s">
        <v>70</v>
      </c>
    </row>
    <row r="213" spans="2:23" x14ac:dyDescent="0.25">
      <c r="B213" s="152" t="s">
        <v>346</v>
      </c>
      <c r="C213" s="153" t="s">
        <v>347</v>
      </c>
      <c r="D213" s="154">
        <v>58</v>
      </c>
      <c r="E213" s="145">
        <v>273.8</v>
      </c>
      <c r="F213" s="155" t="s">
        <v>203</v>
      </c>
      <c r="G213" s="176" t="s">
        <v>204</v>
      </c>
      <c r="H213" t="s">
        <v>305</v>
      </c>
      <c r="I213" s="65" t="s">
        <v>68</v>
      </c>
      <c r="J213" s="65" t="s">
        <v>59</v>
      </c>
      <c r="K213" s="67">
        <v>410</v>
      </c>
      <c r="L213" s="67">
        <v>7.1</v>
      </c>
      <c r="M213" s="98">
        <f t="shared" si="17"/>
        <v>2911</v>
      </c>
      <c r="Q213" s="65"/>
      <c r="R213" s="65"/>
      <c r="S213" s="65"/>
      <c r="T213" s="65"/>
    </row>
    <row r="214" spans="2:23" x14ac:dyDescent="0.25">
      <c r="B214" s="125" t="s">
        <v>346</v>
      </c>
      <c r="C214" s="76" t="s">
        <v>348</v>
      </c>
      <c r="D214" s="80">
        <v>23.4</v>
      </c>
      <c r="E214" s="83">
        <v>110.45</v>
      </c>
      <c r="F214" s="80" t="s">
        <v>349</v>
      </c>
      <c r="G214" s="90" t="s">
        <v>204</v>
      </c>
      <c r="H214" s="91" t="s">
        <v>305</v>
      </c>
      <c r="I214" s="65" t="s">
        <v>69</v>
      </c>
      <c r="J214" s="65" t="s">
        <v>59</v>
      </c>
      <c r="K214" s="68"/>
      <c r="L214" s="68"/>
      <c r="M214" s="112">
        <v>14500</v>
      </c>
      <c r="Q214" s="65"/>
      <c r="R214" s="65"/>
      <c r="S214" s="65"/>
      <c r="T214" s="65"/>
    </row>
    <row r="215" spans="2:23" x14ac:dyDescent="0.25">
      <c r="B215" s="125" t="s">
        <v>346</v>
      </c>
      <c r="C215" s="76" t="s">
        <v>350</v>
      </c>
      <c r="D215" s="80">
        <v>338.7</v>
      </c>
      <c r="E215" s="83">
        <v>1998.33</v>
      </c>
      <c r="F215" s="80" t="s">
        <v>178</v>
      </c>
      <c r="G215" s="90" t="s">
        <v>204</v>
      </c>
      <c r="H215" s="111" t="s">
        <v>503</v>
      </c>
      <c r="I215" s="65"/>
      <c r="J215" s="65"/>
      <c r="K215" s="68">
        <f>SUM(K210:K214)</f>
        <v>6040</v>
      </c>
      <c r="L215" s="68"/>
      <c r="M215" s="98"/>
      <c r="Q215" s="65"/>
      <c r="R215" s="65"/>
      <c r="S215" s="65"/>
      <c r="T215" s="65"/>
    </row>
    <row r="216" spans="2:23" x14ac:dyDescent="0.25">
      <c r="B216" s="125" t="s">
        <v>351</v>
      </c>
      <c r="C216" s="76" t="s">
        <v>352</v>
      </c>
      <c r="D216" s="80">
        <v>1695</v>
      </c>
      <c r="E216" s="83">
        <v>10000.5</v>
      </c>
      <c r="F216" s="80" t="s">
        <v>318</v>
      </c>
      <c r="G216" s="90" t="s">
        <v>204</v>
      </c>
      <c r="H216" s="111" t="s">
        <v>505</v>
      </c>
      <c r="I216" s="65" t="s">
        <v>70</v>
      </c>
      <c r="J216" s="65">
        <v>9000</v>
      </c>
      <c r="K216" s="65"/>
      <c r="L216" s="65" t="s">
        <v>163</v>
      </c>
      <c r="M216" s="65">
        <v>240</v>
      </c>
      <c r="Q216" s="65"/>
      <c r="R216" s="65"/>
      <c r="S216" s="65"/>
      <c r="T216" s="65"/>
    </row>
    <row r="217" spans="2:23" x14ac:dyDescent="0.25">
      <c r="B217" s="116" t="s">
        <v>351</v>
      </c>
      <c r="C217" s="117" t="s">
        <v>353</v>
      </c>
      <c r="D217" s="117">
        <v>76.599999999999994</v>
      </c>
      <c r="E217" s="118">
        <v>451.94</v>
      </c>
      <c r="F217" s="80" t="s">
        <v>354</v>
      </c>
      <c r="G217" s="117" t="s">
        <v>204</v>
      </c>
      <c r="H217" s="106" t="s">
        <v>305</v>
      </c>
      <c r="I217" s="65"/>
      <c r="J217" s="65"/>
      <c r="K217" s="65" t="s">
        <v>162</v>
      </c>
      <c r="L217" s="65"/>
      <c r="M217" s="181">
        <f>SUM(M211:M216)</f>
        <v>59780</v>
      </c>
      <c r="Q217" s="98">
        <v>6040</v>
      </c>
      <c r="R217" s="98">
        <v>14500</v>
      </c>
      <c r="S217" s="98">
        <v>59780</v>
      </c>
      <c r="T217" s="98">
        <v>9000</v>
      </c>
      <c r="W217" s="98">
        <v>3600</v>
      </c>
    </row>
    <row r="218" spans="2:23" x14ac:dyDescent="0.25">
      <c r="B218" s="116" t="s">
        <v>351</v>
      </c>
      <c r="C218" s="117" t="s">
        <v>355</v>
      </c>
      <c r="D218" s="117">
        <v>104.8</v>
      </c>
      <c r="E218" s="118">
        <v>618.32000000000005</v>
      </c>
      <c r="F218" s="119" t="s">
        <v>339</v>
      </c>
      <c r="G218" s="107" t="s">
        <v>321</v>
      </c>
      <c r="I218" s="65"/>
      <c r="J218" s="65"/>
      <c r="K218" s="65"/>
      <c r="L218" s="65" t="s">
        <v>85</v>
      </c>
      <c r="M218" s="65"/>
      <c r="N218" s="92"/>
    </row>
    <row r="219" spans="2:23" x14ac:dyDescent="0.25">
      <c r="B219" s="116" t="s">
        <v>356</v>
      </c>
      <c r="C219" s="117" t="s">
        <v>357</v>
      </c>
      <c r="D219" s="117">
        <v>339</v>
      </c>
      <c r="E219" s="118">
        <v>2000.1</v>
      </c>
      <c r="F219" s="119" t="s">
        <v>358</v>
      </c>
      <c r="G219" s="117" t="s">
        <v>204</v>
      </c>
      <c r="H219" s="204" t="s">
        <v>305</v>
      </c>
      <c r="I219" s="65" t="s">
        <v>159</v>
      </c>
      <c r="J219" s="65"/>
      <c r="K219" s="92" t="s">
        <v>99</v>
      </c>
      <c r="L219" s="92">
        <v>30</v>
      </c>
      <c r="M219" s="92">
        <v>5.9</v>
      </c>
      <c r="N219" s="92">
        <f>L219*M219</f>
        <v>177</v>
      </c>
    </row>
    <row r="220" spans="2:23" x14ac:dyDescent="0.25">
      <c r="B220" s="116" t="s">
        <v>356</v>
      </c>
      <c r="C220" s="117" t="s">
        <v>359</v>
      </c>
      <c r="D220" s="117">
        <v>965.7</v>
      </c>
      <c r="E220" s="118">
        <v>5697.63</v>
      </c>
      <c r="F220" s="154" t="s">
        <v>248</v>
      </c>
      <c r="G220" s="117" t="s">
        <v>204</v>
      </c>
      <c r="H220" s="204" t="s">
        <v>304</v>
      </c>
      <c r="K220" s="92" t="s">
        <v>100</v>
      </c>
      <c r="L220" s="92">
        <v>30</v>
      </c>
      <c r="M220" s="92">
        <v>1.4</v>
      </c>
      <c r="N220" s="92">
        <f>L220*M220</f>
        <v>42</v>
      </c>
    </row>
    <row r="221" spans="2:23" x14ac:dyDescent="0.25">
      <c r="B221" s="71" t="s">
        <v>360</v>
      </c>
      <c r="C221" s="76" t="s">
        <v>361</v>
      </c>
      <c r="D221" s="80">
        <v>104.3</v>
      </c>
      <c r="E221" s="83">
        <v>615.37</v>
      </c>
      <c r="F221" s="88" t="s">
        <v>313</v>
      </c>
      <c r="G221" s="90" t="s">
        <v>204</v>
      </c>
      <c r="H221" t="s">
        <v>305</v>
      </c>
      <c r="K221" s="92" t="s">
        <v>161</v>
      </c>
      <c r="L221" s="92">
        <v>1</v>
      </c>
      <c r="M221" s="92">
        <v>18</v>
      </c>
      <c r="N221" s="92">
        <f>L221*M221</f>
        <v>18</v>
      </c>
    </row>
    <row r="222" spans="2:23" x14ac:dyDescent="0.25">
      <c r="B222" s="116" t="s">
        <v>365</v>
      </c>
      <c r="C222" s="117" t="s">
        <v>366</v>
      </c>
      <c r="D222" s="117">
        <v>672</v>
      </c>
      <c r="E222" s="118">
        <v>3964.8</v>
      </c>
      <c r="F222" s="119" t="s">
        <v>367</v>
      </c>
      <c r="G222" s="117" t="s">
        <v>204</v>
      </c>
      <c r="H222" s="204" t="s">
        <v>305</v>
      </c>
      <c r="K222" s="92"/>
      <c r="L222" s="92"/>
      <c r="M222" s="92"/>
      <c r="N222" s="111">
        <f>SUM(N219:N221)</f>
        <v>237</v>
      </c>
    </row>
    <row r="223" spans="2:23" x14ac:dyDescent="0.25">
      <c r="B223" s="116" t="s">
        <v>368</v>
      </c>
      <c r="C223" s="117" t="s">
        <v>369</v>
      </c>
      <c r="D223" s="117">
        <v>242.6</v>
      </c>
      <c r="E223" s="118">
        <v>1431.34</v>
      </c>
      <c r="F223" s="119" t="s">
        <v>370</v>
      </c>
      <c r="G223" s="117" t="s">
        <v>204</v>
      </c>
      <c r="H223" s="266" t="s">
        <v>305</v>
      </c>
    </row>
    <row r="224" spans="2:23" x14ac:dyDescent="0.25">
      <c r="B224" s="116" t="s">
        <v>371</v>
      </c>
      <c r="C224" s="117" t="s">
        <v>372</v>
      </c>
      <c r="D224" s="117">
        <v>126.4</v>
      </c>
      <c r="E224" s="118">
        <v>745.76</v>
      </c>
      <c r="F224" s="154" t="s">
        <v>248</v>
      </c>
      <c r="G224" s="117" t="s">
        <v>204</v>
      </c>
      <c r="H224" s="266" t="s">
        <v>305</v>
      </c>
    </row>
    <row r="225" spans="2:13" x14ac:dyDescent="0.25">
      <c r="B225" s="116" t="s">
        <v>373</v>
      </c>
      <c r="C225" s="117" t="s">
        <v>374</v>
      </c>
      <c r="D225" s="117">
        <v>285.60000000000002</v>
      </c>
      <c r="E225" s="118">
        <v>1685.04</v>
      </c>
      <c r="F225" s="119" t="s">
        <v>375</v>
      </c>
      <c r="G225" s="117" t="s">
        <v>204</v>
      </c>
    </row>
    <row r="226" spans="2:13" x14ac:dyDescent="0.25">
      <c r="B226" s="10"/>
      <c r="C226" s="40"/>
      <c r="D226" s="40"/>
      <c r="E226" s="86"/>
      <c r="F226" s="4"/>
      <c r="G226" s="40"/>
    </row>
    <row r="227" spans="2:13" x14ac:dyDescent="0.25">
      <c r="B227" s="72"/>
      <c r="C227" s="77"/>
      <c r="D227" s="77"/>
      <c r="E227" s="85"/>
      <c r="F227" s="26"/>
      <c r="G227" s="40"/>
    </row>
    <row r="228" spans="2:13" x14ac:dyDescent="0.25">
      <c r="B228" s="72"/>
      <c r="C228" s="77"/>
      <c r="D228" s="77"/>
      <c r="E228" s="85"/>
      <c r="F228" s="26"/>
      <c r="G228" s="40"/>
    </row>
    <row r="229" spans="2:13" x14ac:dyDescent="0.25">
      <c r="B229" s="72"/>
      <c r="C229" s="77"/>
      <c r="D229" s="77"/>
      <c r="E229" s="85"/>
      <c r="F229" s="26"/>
      <c r="G229" s="40"/>
    </row>
    <row r="230" spans="2:13" x14ac:dyDescent="0.25">
      <c r="B230" s="73"/>
      <c r="C230" s="78"/>
      <c r="D230" s="78"/>
      <c r="E230" s="87">
        <f>SUM(E210:E229)</f>
        <v>31332.699999999997</v>
      </c>
      <c r="F230" s="59"/>
      <c r="G230" s="39"/>
    </row>
    <row r="231" spans="2:13" x14ac:dyDescent="0.25">
      <c r="B231" s="8"/>
      <c r="C231" s="39"/>
      <c r="D231" s="39"/>
      <c r="E231" s="50"/>
      <c r="F231" s="2"/>
      <c r="G231" s="39"/>
    </row>
    <row r="232" spans="2:13" x14ac:dyDescent="0.25">
      <c r="B232" s="270" t="s">
        <v>74</v>
      </c>
      <c r="C232" s="270"/>
      <c r="D232" s="137">
        <f>SUM(D210:D231)</f>
        <v>5400.6</v>
      </c>
      <c r="E232" s="50"/>
      <c r="F232" s="2"/>
      <c r="G232" s="39"/>
    </row>
    <row r="236" spans="2:13" ht="15.75" x14ac:dyDescent="0.25">
      <c r="B236" s="41"/>
      <c r="C236" s="42"/>
      <c r="D236" s="42"/>
      <c r="E236" s="43" t="s">
        <v>388</v>
      </c>
      <c r="F236" s="44"/>
      <c r="G236" s="45"/>
      <c r="H236" s="46"/>
      <c r="I236" s="47"/>
      <c r="J236" s="43" t="s">
        <v>388</v>
      </c>
      <c r="K236" s="47"/>
      <c r="L236" s="49"/>
      <c r="M236" s="49"/>
    </row>
    <row r="237" spans="2:13" x14ac:dyDescent="0.25">
      <c r="B237" s="8"/>
      <c r="C237" s="39"/>
      <c r="D237" s="39"/>
      <c r="E237" s="50"/>
      <c r="F237" s="2"/>
      <c r="G237" s="39"/>
    </row>
    <row r="238" spans="2:13" ht="15.75" x14ac:dyDescent="0.25">
      <c r="B238" s="51" t="s">
        <v>58</v>
      </c>
      <c r="C238" s="2"/>
      <c r="D238" s="52" t="s">
        <v>59</v>
      </c>
      <c r="E238" s="53">
        <f>E205</f>
        <v>27756.230000000003</v>
      </c>
      <c r="F238" s="2"/>
      <c r="G238" s="63" t="s">
        <v>60</v>
      </c>
      <c r="H238" s="63"/>
      <c r="I238" s="54"/>
      <c r="J238" s="55" t="s">
        <v>59</v>
      </c>
      <c r="K238" s="56">
        <f>K205</f>
        <v>27416</v>
      </c>
    </row>
    <row r="239" spans="2:13" x14ac:dyDescent="0.25">
      <c r="B239" s="57" t="s">
        <v>61</v>
      </c>
      <c r="C239" s="2"/>
      <c r="D239" s="52"/>
      <c r="E239" s="58"/>
      <c r="F239" s="2"/>
      <c r="G239" s="269" t="s">
        <v>61</v>
      </c>
      <c r="H239" s="269"/>
      <c r="I239" s="54" t="s">
        <v>164</v>
      </c>
      <c r="J239" s="55"/>
      <c r="K239" s="54"/>
    </row>
    <row r="240" spans="2:13" x14ac:dyDescent="0.25">
      <c r="B240" s="57" t="s">
        <v>62</v>
      </c>
      <c r="C240" s="2"/>
      <c r="D240" s="52" t="s">
        <v>59</v>
      </c>
      <c r="E240" s="58">
        <v>7142.4</v>
      </c>
      <c r="F240" s="2"/>
      <c r="G240" s="269" t="s">
        <v>62</v>
      </c>
      <c r="H240" s="269"/>
      <c r="I240" s="54"/>
      <c r="J240" s="55" t="s">
        <v>59</v>
      </c>
      <c r="K240" s="54">
        <v>5851</v>
      </c>
    </row>
    <row r="241" spans="2:23" ht="15.75" x14ac:dyDescent="0.25">
      <c r="B241" s="60" t="s">
        <v>63</v>
      </c>
      <c r="C241" s="39"/>
      <c r="D241" s="39"/>
      <c r="E241" s="61">
        <f>E238+E239-E240</f>
        <v>20613.830000000002</v>
      </c>
      <c r="F241" s="2"/>
      <c r="G241" s="62" t="s">
        <v>64</v>
      </c>
      <c r="H241" s="62"/>
      <c r="J241" s="54" t="s">
        <v>59</v>
      </c>
      <c r="K241" s="62">
        <f>K238+K239-K240</f>
        <v>21565</v>
      </c>
    </row>
    <row r="243" spans="2:23" x14ac:dyDescent="0.25">
      <c r="B243" t="s">
        <v>165</v>
      </c>
      <c r="Q243" s="66" t="s">
        <v>66</v>
      </c>
      <c r="R243" s="66" t="s">
        <v>93</v>
      </c>
      <c r="S243" s="66" t="s">
        <v>94</v>
      </c>
      <c r="T243" s="66" t="s">
        <v>70</v>
      </c>
    </row>
    <row r="244" spans="2:23" x14ac:dyDescent="0.25">
      <c r="Q244" s="65"/>
      <c r="R244" s="65"/>
      <c r="S244" s="65"/>
      <c r="T244" s="65"/>
    </row>
    <row r="245" spans="2:23" x14ac:dyDescent="0.25">
      <c r="B245" s="69" t="s">
        <v>14</v>
      </c>
      <c r="C245" s="74" t="s">
        <v>75</v>
      </c>
      <c r="D245" s="74" t="s">
        <v>71</v>
      </c>
      <c r="E245" s="81" t="s">
        <v>18</v>
      </c>
      <c r="F245" s="74" t="s">
        <v>16</v>
      </c>
      <c r="G245" s="89" t="s">
        <v>76</v>
      </c>
      <c r="I245" s="64" t="s">
        <v>65</v>
      </c>
      <c r="K245" s="66" t="s">
        <v>71</v>
      </c>
      <c r="L245" s="66" t="s">
        <v>72</v>
      </c>
      <c r="M245" s="66" t="s">
        <v>73</v>
      </c>
      <c r="Q245" s="65"/>
      <c r="R245" s="65"/>
      <c r="S245" s="65"/>
      <c r="T245" s="65"/>
    </row>
    <row r="246" spans="2:23" x14ac:dyDescent="0.25">
      <c r="B246" s="252" t="s">
        <v>376</v>
      </c>
      <c r="C246" s="253" t="s">
        <v>377</v>
      </c>
      <c r="D246" s="254">
        <v>580.6</v>
      </c>
      <c r="E246" s="255">
        <v>3425.54</v>
      </c>
      <c r="F246" s="254" t="s">
        <v>378</v>
      </c>
      <c r="G246" s="256" t="s">
        <v>204</v>
      </c>
      <c r="H246" s="132" t="s">
        <v>305</v>
      </c>
      <c r="K246" s="99"/>
      <c r="Q246" s="65"/>
      <c r="R246" s="65"/>
      <c r="S246" s="65"/>
      <c r="T246" s="65"/>
    </row>
    <row r="247" spans="2:23" x14ac:dyDescent="0.25">
      <c r="B247" s="116" t="s">
        <v>379</v>
      </c>
      <c r="C247" s="117" t="s">
        <v>380</v>
      </c>
      <c r="D247" s="117">
        <v>219.2</v>
      </c>
      <c r="E247" s="118">
        <v>1293.28</v>
      </c>
      <c r="F247" s="119" t="s">
        <v>375</v>
      </c>
      <c r="G247" s="117" t="s">
        <v>204</v>
      </c>
      <c r="H247" s="1" t="s">
        <v>304</v>
      </c>
      <c r="I247" s="65" t="s">
        <v>66</v>
      </c>
      <c r="J247" s="65" t="s">
        <v>59</v>
      </c>
      <c r="K247" s="67">
        <v>4510</v>
      </c>
      <c r="L247" s="67">
        <v>7.4</v>
      </c>
      <c r="M247" s="65">
        <f>K247*L247</f>
        <v>33374</v>
      </c>
      <c r="Q247" s="65"/>
      <c r="R247" s="65"/>
      <c r="S247" s="65"/>
      <c r="T247" s="65"/>
      <c r="W247">
        <v>4100</v>
      </c>
    </row>
    <row r="248" spans="2:23" x14ac:dyDescent="0.25">
      <c r="B248" s="116" t="s">
        <v>381</v>
      </c>
      <c r="C248" s="117" t="s">
        <v>382</v>
      </c>
      <c r="D248" s="117">
        <v>45.6</v>
      </c>
      <c r="E248" s="118">
        <v>269.04000000000002</v>
      </c>
      <c r="F248" s="119" t="s">
        <v>370</v>
      </c>
      <c r="G248" s="117" t="s">
        <v>204</v>
      </c>
      <c r="H248" s="204" t="s">
        <v>305</v>
      </c>
      <c r="I248" s="65" t="s">
        <v>67</v>
      </c>
      <c r="J248" s="65" t="s">
        <v>59</v>
      </c>
      <c r="K248" s="67">
        <v>1131</v>
      </c>
      <c r="L248" s="67">
        <v>8.4</v>
      </c>
      <c r="M248" s="65">
        <f t="shared" ref="M248:M249" si="18">K248*L248</f>
        <v>9500.4</v>
      </c>
      <c r="Q248" s="98">
        <f>K251</f>
        <v>5851</v>
      </c>
      <c r="R248" s="98">
        <v>16100</v>
      </c>
      <c r="S248" s="98">
        <v>60980</v>
      </c>
      <c r="T248" s="98">
        <v>9500</v>
      </c>
    </row>
    <row r="249" spans="2:23" x14ac:dyDescent="0.25">
      <c r="B249" s="125" t="s">
        <v>383</v>
      </c>
      <c r="C249" s="76" t="s">
        <v>384</v>
      </c>
      <c r="D249" s="80">
        <v>78</v>
      </c>
      <c r="E249" s="83">
        <v>460.2</v>
      </c>
      <c r="F249" s="80" t="s">
        <v>385</v>
      </c>
      <c r="G249" s="90" t="s">
        <v>204</v>
      </c>
      <c r="H249" t="s">
        <v>304</v>
      </c>
      <c r="I249" s="65" t="s">
        <v>68</v>
      </c>
      <c r="J249" s="65" t="s">
        <v>59</v>
      </c>
      <c r="K249" s="67">
        <v>210</v>
      </c>
      <c r="L249" s="67">
        <v>7.2</v>
      </c>
      <c r="M249" s="65">
        <f t="shared" si="18"/>
        <v>1512</v>
      </c>
    </row>
    <row r="250" spans="2:23" x14ac:dyDescent="0.25">
      <c r="B250" s="177" t="s">
        <v>386</v>
      </c>
      <c r="C250" s="143" t="s">
        <v>387</v>
      </c>
      <c r="D250" s="144">
        <v>432.4</v>
      </c>
      <c r="E250" s="175">
        <v>2551.16</v>
      </c>
      <c r="F250" s="144" t="s">
        <v>378</v>
      </c>
      <c r="G250" s="200" t="s">
        <v>204</v>
      </c>
      <c r="H250" s="91" t="s">
        <v>305</v>
      </c>
      <c r="I250" s="65" t="s">
        <v>69</v>
      </c>
      <c r="J250" s="65" t="s">
        <v>59</v>
      </c>
      <c r="L250" s="68"/>
      <c r="M250" s="68">
        <v>16108</v>
      </c>
    </row>
    <row r="251" spans="2:23" x14ac:dyDescent="0.25">
      <c r="B251" s="116" t="s">
        <v>399</v>
      </c>
      <c r="C251" s="117" t="s">
        <v>400</v>
      </c>
      <c r="D251" s="117">
        <v>1818</v>
      </c>
      <c r="E251" s="118">
        <v>10726.2</v>
      </c>
      <c r="F251" s="119" t="s">
        <v>401</v>
      </c>
      <c r="G251" s="107" t="s">
        <v>321</v>
      </c>
      <c r="H251" t="s">
        <v>500</v>
      </c>
      <c r="I251" s="65"/>
      <c r="J251" s="65"/>
      <c r="K251" s="68">
        <f>SUM(K246:K250)</f>
        <v>5851</v>
      </c>
      <c r="L251" s="68"/>
      <c r="M251" s="98"/>
    </row>
    <row r="252" spans="2:23" x14ac:dyDescent="0.25">
      <c r="B252" s="116" t="s">
        <v>402</v>
      </c>
      <c r="C252" s="117" t="s">
        <v>403</v>
      </c>
      <c r="D252" s="117">
        <v>145.19999999999999</v>
      </c>
      <c r="E252" s="118">
        <v>856.68</v>
      </c>
      <c r="F252" s="119" t="s">
        <v>404</v>
      </c>
      <c r="G252" s="117" t="s">
        <v>204</v>
      </c>
      <c r="H252" s="204" t="s">
        <v>304</v>
      </c>
      <c r="I252" s="65" t="s">
        <v>70</v>
      </c>
      <c r="J252" s="65">
        <v>9500</v>
      </c>
      <c r="K252" s="65"/>
      <c r="L252" s="65" t="s">
        <v>78</v>
      </c>
      <c r="M252" s="110">
        <v>481.4</v>
      </c>
    </row>
    <row r="253" spans="2:23" x14ac:dyDescent="0.25">
      <c r="B253" s="116" t="s">
        <v>454</v>
      </c>
      <c r="C253" s="117" t="s">
        <v>405</v>
      </c>
      <c r="D253" s="117">
        <v>339</v>
      </c>
      <c r="E253" s="118">
        <v>2000.1</v>
      </c>
      <c r="F253" s="119" t="s">
        <v>406</v>
      </c>
      <c r="G253" s="107" t="s">
        <v>321</v>
      </c>
      <c r="I253" s="65"/>
      <c r="J253" s="65"/>
      <c r="K253" s="65"/>
      <c r="L253" s="65" t="s">
        <v>425</v>
      </c>
      <c r="M253" s="112">
        <f>SUM(M247:M252)</f>
        <v>60975.8</v>
      </c>
    </row>
    <row r="254" spans="2:23" x14ac:dyDescent="0.25">
      <c r="B254" s="257" t="s">
        <v>407</v>
      </c>
      <c r="C254" s="107" t="s">
        <v>408</v>
      </c>
      <c r="D254" s="107">
        <v>356</v>
      </c>
      <c r="E254" s="258">
        <v>2100.4</v>
      </c>
      <c r="F254" s="259" t="s">
        <v>318</v>
      </c>
      <c r="G254" s="107" t="s">
        <v>321</v>
      </c>
      <c r="I254" s="65"/>
      <c r="J254" s="65"/>
      <c r="K254" s="92" t="s">
        <v>99</v>
      </c>
      <c r="L254" s="92">
        <v>56</v>
      </c>
      <c r="M254" s="92">
        <v>5.9</v>
      </c>
      <c r="N254" s="92">
        <f>L254*M254</f>
        <v>330.40000000000003</v>
      </c>
    </row>
    <row r="255" spans="2:23" x14ac:dyDescent="0.25">
      <c r="B255" s="116" t="s">
        <v>410</v>
      </c>
      <c r="C255" s="117" t="s">
        <v>409</v>
      </c>
      <c r="D255" s="117">
        <v>288.2</v>
      </c>
      <c r="E255" s="118">
        <v>1700.38</v>
      </c>
      <c r="F255" s="119" t="s">
        <v>411</v>
      </c>
      <c r="G255" s="117" t="s">
        <v>204</v>
      </c>
      <c r="H255" s="204" t="s">
        <v>305</v>
      </c>
      <c r="I255" s="65"/>
      <c r="J255" s="65"/>
      <c r="K255" s="92" t="s">
        <v>100</v>
      </c>
      <c r="L255" s="92">
        <v>65</v>
      </c>
      <c r="M255" s="92">
        <v>1.4</v>
      </c>
      <c r="N255" s="92">
        <f>L255*M255</f>
        <v>91</v>
      </c>
    </row>
    <row r="256" spans="2:23" x14ac:dyDescent="0.25">
      <c r="B256" s="116" t="s">
        <v>412</v>
      </c>
      <c r="C256" s="117" t="s">
        <v>413</v>
      </c>
      <c r="D256" s="117">
        <v>1550</v>
      </c>
      <c r="E256" s="118">
        <v>9145</v>
      </c>
      <c r="F256" s="119" t="s">
        <v>414</v>
      </c>
      <c r="G256" s="195" t="s">
        <v>204</v>
      </c>
      <c r="H256" s="111" t="s">
        <v>504</v>
      </c>
      <c r="I256" s="65"/>
      <c r="J256" s="92"/>
      <c r="K256" s="92" t="s">
        <v>161</v>
      </c>
      <c r="L256" s="92">
        <v>6</v>
      </c>
      <c r="M256" s="92"/>
      <c r="N256" s="92">
        <v>60</v>
      </c>
    </row>
    <row r="257" spans="2:14" x14ac:dyDescent="0.25">
      <c r="B257" s="179" t="s">
        <v>415</v>
      </c>
      <c r="C257" s="178" t="s">
        <v>416</v>
      </c>
      <c r="D257" s="178">
        <v>207.45</v>
      </c>
      <c r="E257" s="263">
        <v>1223.96</v>
      </c>
      <c r="F257" s="156" t="s">
        <v>375</v>
      </c>
      <c r="G257" s="195" t="s">
        <v>204</v>
      </c>
      <c r="J257" s="92"/>
      <c r="K257" s="92"/>
      <c r="L257" s="92"/>
      <c r="M257" s="92"/>
      <c r="N257" s="111">
        <f>SUM(N254:N256)</f>
        <v>481.40000000000003</v>
      </c>
    </row>
    <row r="258" spans="2:14" x14ac:dyDescent="0.25">
      <c r="B258" s="116" t="s">
        <v>415</v>
      </c>
      <c r="C258" s="117" t="s">
        <v>417</v>
      </c>
      <c r="D258" s="117">
        <v>110</v>
      </c>
      <c r="E258" s="118">
        <v>649</v>
      </c>
      <c r="F258" s="119" t="s">
        <v>418</v>
      </c>
      <c r="G258" s="117" t="s">
        <v>204</v>
      </c>
      <c r="H258" s="204" t="s">
        <v>304</v>
      </c>
      <c r="J258" s="92"/>
      <c r="K258" s="92"/>
      <c r="L258" s="92"/>
      <c r="M258" s="92"/>
    </row>
    <row r="259" spans="2:14" x14ac:dyDescent="0.25">
      <c r="B259" s="72" t="s">
        <v>419</v>
      </c>
      <c r="C259" s="28" t="s">
        <v>420</v>
      </c>
      <c r="D259" s="26">
        <v>14.3</v>
      </c>
      <c r="E259" s="84">
        <v>84.37</v>
      </c>
      <c r="F259" s="26" t="s">
        <v>421</v>
      </c>
      <c r="G259" s="90" t="s">
        <v>204</v>
      </c>
      <c r="H259" t="s">
        <v>304</v>
      </c>
      <c r="J259" s="92"/>
      <c r="K259" s="92"/>
      <c r="L259" s="92"/>
      <c r="M259" s="111"/>
    </row>
    <row r="260" spans="2:14" x14ac:dyDescent="0.25">
      <c r="B260" s="116" t="s">
        <v>419</v>
      </c>
      <c r="C260" s="117" t="s">
        <v>422</v>
      </c>
      <c r="D260" s="117">
        <v>350.9</v>
      </c>
      <c r="E260" s="118">
        <v>2070.31</v>
      </c>
      <c r="F260" s="119" t="s">
        <v>401</v>
      </c>
      <c r="G260" s="195" t="s">
        <v>204</v>
      </c>
    </row>
    <row r="261" spans="2:14" x14ac:dyDescent="0.25">
      <c r="B261" s="72" t="s">
        <v>423</v>
      </c>
      <c r="C261" s="77" t="s">
        <v>424</v>
      </c>
      <c r="D261" s="77">
        <v>378.5</v>
      </c>
      <c r="E261" s="85">
        <v>2233.15</v>
      </c>
      <c r="F261" s="26" t="s">
        <v>358</v>
      </c>
      <c r="G261" s="90" t="s">
        <v>204</v>
      </c>
      <c r="H261" t="s">
        <v>305</v>
      </c>
    </row>
    <row r="262" spans="2:14" x14ac:dyDescent="0.25">
      <c r="B262" s="116" t="s">
        <v>426</v>
      </c>
      <c r="C262" s="117" t="s">
        <v>427</v>
      </c>
      <c r="D262" s="117">
        <v>228.9</v>
      </c>
      <c r="E262" s="118">
        <v>1350.51</v>
      </c>
      <c r="F262" s="119" t="s">
        <v>428</v>
      </c>
      <c r="G262" s="117" t="s">
        <v>204</v>
      </c>
      <c r="H262" s="204" t="s">
        <v>304</v>
      </c>
    </row>
    <row r="263" spans="2:14" x14ac:dyDescent="0.25">
      <c r="B263" s="125"/>
      <c r="C263" s="76"/>
      <c r="D263" s="80"/>
      <c r="E263" s="83"/>
      <c r="F263" s="80"/>
      <c r="G263" s="107"/>
    </row>
    <row r="264" spans="2:14" x14ac:dyDescent="0.25">
      <c r="B264" s="125"/>
      <c r="C264" s="76"/>
      <c r="D264" s="80"/>
      <c r="E264" s="83"/>
      <c r="F264" s="80"/>
      <c r="G264" s="117"/>
    </row>
    <row r="265" spans="2:14" x14ac:dyDescent="0.25">
      <c r="B265" s="116"/>
      <c r="C265" s="117"/>
      <c r="D265" s="117"/>
      <c r="E265" s="118"/>
      <c r="F265" s="119"/>
      <c r="G265" s="117"/>
    </row>
    <row r="266" spans="2:14" x14ac:dyDescent="0.25">
      <c r="B266" s="72"/>
      <c r="C266" s="77"/>
      <c r="D266" s="77"/>
      <c r="E266" s="85"/>
      <c r="F266" s="26"/>
      <c r="G266" s="117"/>
    </row>
    <row r="267" spans="2:14" x14ac:dyDescent="0.25">
      <c r="B267" s="72"/>
      <c r="C267" s="77"/>
      <c r="D267" s="77"/>
      <c r="E267" s="85"/>
      <c r="F267" s="26"/>
      <c r="G267" s="117"/>
    </row>
    <row r="268" spans="2:14" x14ac:dyDescent="0.25">
      <c r="B268" s="73"/>
      <c r="C268" s="78"/>
      <c r="D268" s="78"/>
      <c r="E268" s="87">
        <f>SUM(E246:E267)</f>
        <v>42139.28</v>
      </c>
      <c r="F268" s="59"/>
      <c r="G268" s="39"/>
    </row>
    <row r="269" spans="2:14" x14ac:dyDescent="0.25">
      <c r="B269" s="8"/>
      <c r="C269" s="39"/>
      <c r="D269" s="39"/>
      <c r="E269" s="50"/>
      <c r="F269" s="2"/>
      <c r="G269" s="39"/>
    </row>
    <row r="270" spans="2:14" x14ac:dyDescent="0.25">
      <c r="B270" s="270" t="s">
        <v>74</v>
      </c>
      <c r="C270" s="270"/>
      <c r="D270" s="137">
        <f>SUM(D246:D269)</f>
        <v>7142.2499999999991</v>
      </c>
      <c r="E270" s="50"/>
      <c r="F270" s="2"/>
      <c r="G270" s="39"/>
    </row>
    <row r="274" spans="2:20" ht="15.75" x14ac:dyDescent="0.25">
      <c r="B274" s="41"/>
      <c r="C274" s="42"/>
      <c r="D274" s="42"/>
      <c r="E274" s="43" t="s">
        <v>393</v>
      </c>
      <c r="F274" s="44"/>
      <c r="G274" s="45"/>
      <c r="H274" s="46"/>
      <c r="I274" s="47"/>
      <c r="J274" s="43" t="s">
        <v>393</v>
      </c>
      <c r="K274" s="47"/>
      <c r="L274" s="49"/>
      <c r="M274" s="49"/>
    </row>
    <row r="275" spans="2:20" x14ac:dyDescent="0.25">
      <c r="B275" s="8"/>
      <c r="C275" s="39"/>
      <c r="D275" s="39"/>
      <c r="E275" s="50"/>
      <c r="F275" s="2"/>
      <c r="G275" s="39"/>
    </row>
    <row r="276" spans="2:20" ht="15.75" x14ac:dyDescent="0.25">
      <c r="B276" s="51" t="s">
        <v>58</v>
      </c>
      <c r="C276" s="2"/>
      <c r="D276" s="52" t="s">
        <v>59</v>
      </c>
      <c r="E276" s="53">
        <f>E241</f>
        <v>20613.830000000002</v>
      </c>
      <c r="F276" s="2"/>
      <c r="G276" s="63" t="s">
        <v>60</v>
      </c>
      <c r="H276" s="63"/>
      <c r="I276" s="54"/>
      <c r="J276" s="55" t="s">
        <v>59</v>
      </c>
      <c r="K276" s="56">
        <f>K241</f>
        <v>21565</v>
      </c>
    </row>
    <row r="277" spans="2:20" x14ac:dyDescent="0.25">
      <c r="B277" s="57" t="s">
        <v>61</v>
      </c>
      <c r="C277" s="2">
        <v>4</v>
      </c>
      <c r="D277" s="52"/>
      <c r="E277" s="260">
        <v>9957</v>
      </c>
      <c r="F277" s="2"/>
      <c r="G277" s="269">
        <v>4</v>
      </c>
      <c r="H277" s="269"/>
      <c r="I277" s="54"/>
      <c r="J277" s="55" t="s">
        <v>59</v>
      </c>
      <c r="K277" s="165">
        <v>9957</v>
      </c>
    </row>
    <row r="278" spans="2:20" x14ac:dyDescent="0.25">
      <c r="B278" s="57" t="s">
        <v>62</v>
      </c>
      <c r="C278" s="2"/>
      <c r="D278" s="52" t="s">
        <v>59</v>
      </c>
      <c r="E278" s="229">
        <f>D311</f>
        <v>6049.8699999999981</v>
      </c>
      <c r="F278" s="2"/>
      <c r="G278" s="269" t="s">
        <v>62</v>
      </c>
      <c r="H278" s="269"/>
      <c r="I278" s="54"/>
      <c r="J278" s="55" t="s">
        <v>59</v>
      </c>
      <c r="K278" s="230">
        <f>K290</f>
        <v>6645</v>
      </c>
    </row>
    <row r="279" spans="2:20" ht="15.75" x14ac:dyDescent="0.25">
      <c r="B279" s="60" t="s">
        <v>63</v>
      </c>
      <c r="C279" s="39"/>
      <c r="D279" s="39"/>
      <c r="E279" s="61">
        <f>E276+E277-E278</f>
        <v>24520.960000000003</v>
      </c>
      <c r="F279" s="2"/>
      <c r="G279" s="62" t="s">
        <v>64</v>
      </c>
      <c r="H279" s="62"/>
      <c r="J279" s="54" t="s">
        <v>59</v>
      </c>
      <c r="K279" s="62">
        <f>K276+K277-K278</f>
        <v>24877</v>
      </c>
    </row>
    <row r="282" spans="2:20" x14ac:dyDescent="0.25">
      <c r="K282" s="197" t="s">
        <v>479</v>
      </c>
    </row>
    <row r="283" spans="2:20" x14ac:dyDescent="0.25">
      <c r="B283" s="69" t="s">
        <v>14</v>
      </c>
      <c r="C283" s="74" t="s">
        <v>75</v>
      </c>
      <c r="D283" s="74" t="s">
        <v>71</v>
      </c>
      <c r="E283" s="81" t="s">
        <v>18</v>
      </c>
      <c r="F283" s="74" t="s">
        <v>16</v>
      </c>
      <c r="G283" s="89" t="s">
        <v>76</v>
      </c>
      <c r="I283" s="64" t="s">
        <v>65</v>
      </c>
      <c r="K283" s="66" t="s">
        <v>71</v>
      </c>
      <c r="L283" s="66" t="s">
        <v>72</v>
      </c>
      <c r="M283" s="66" t="s">
        <v>73</v>
      </c>
    </row>
    <row r="284" spans="2:20" x14ac:dyDescent="0.25">
      <c r="B284" s="120" t="s">
        <v>432</v>
      </c>
      <c r="C284" s="117" t="s">
        <v>433</v>
      </c>
      <c r="D284" s="117">
        <v>50</v>
      </c>
      <c r="E284" s="118">
        <v>295</v>
      </c>
      <c r="F284" s="119" t="s">
        <v>434</v>
      </c>
      <c r="G284" s="90" t="s">
        <v>204</v>
      </c>
      <c r="H284" s="91"/>
    </row>
    <row r="285" spans="2:20" x14ac:dyDescent="0.25">
      <c r="B285" s="120" t="s">
        <v>436</v>
      </c>
      <c r="C285" s="117" t="s">
        <v>452</v>
      </c>
      <c r="D285" s="117">
        <v>108</v>
      </c>
      <c r="E285" s="118">
        <v>637.20000000000005</v>
      </c>
      <c r="F285" s="119" t="s">
        <v>453</v>
      </c>
      <c r="G285" s="90" t="s">
        <v>204</v>
      </c>
      <c r="H285" s="91" t="s">
        <v>305</v>
      </c>
    </row>
    <row r="286" spans="2:20" x14ac:dyDescent="0.25">
      <c r="B286" s="120" t="s">
        <v>436</v>
      </c>
      <c r="C286" s="117" t="s">
        <v>435</v>
      </c>
      <c r="D286" s="117">
        <v>45.3</v>
      </c>
      <c r="E286" s="118">
        <v>267.27</v>
      </c>
      <c r="F286" s="119" t="s">
        <v>434</v>
      </c>
      <c r="G286" s="90" t="s">
        <v>204</v>
      </c>
      <c r="I286" s="65" t="s">
        <v>66</v>
      </c>
      <c r="J286" s="65" t="s">
        <v>59</v>
      </c>
      <c r="K286" s="67">
        <v>5700</v>
      </c>
      <c r="L286" s="67">
        <v>7.4</v>
      </c>
      <c r="M286" s="65">
        <f>K286*L286</f>
        <v>42180</v>
      </c>
    </row>
    <row r="287" spans="2:20" x14ac:dyDescent="0.25">
      <c r="B287" s="120" t="s">
        <v>437</v>
      </c>
      <c r="C287" s="117" t="s">
        <v>438</v>
      </c>
      <c r="D287" s="117">
        <v>47.5</v>
      </c>
      <c r="E287" s="118">
        <v>280.5</v>
      </c>
      <c r="F287" s="119" t="s">
        <v>434</v>
      </c>
      <c r="G287" s="90" t="s">
        <v>204</v>
      </c>
      <c r="I287" s="65" t="s">
        <v>67</v>
      </c>
      <c r="J287" s="65" t="s">
        <v>59</v>
      </c>
      <c r="K287" s="67">
        <v>775</v>
      </c>
      <c r="L287" s="67">
        <v>8.4</v>
      </c>
      <c r="M287" s="65">
        <f t="shared" ref="M287:M288" si="19">K287*L287</f>
        <v>6510</v>
      </c>
      <c r="Q287" s="66" t="s">
        <v>66</v>
      </c>
      <c r="R287" s="66" t="s">
        <v>93</v>
      </c>
      <c r="S287" s="66" t="s">
        <v>94</v>
      </c>
      <c r="T287" s="66" t="s">
        <v>70</v>
      </c>
    </row>
    <row r="288" spans="2:20" x14ac:dyDescent="0.25">
      <c r="B288" s="257" t="s">
        <v>437</v>
      </c>
      <c r="C288" s="107" t="s">
        <v>439</v>
      </c>
      <c r="D288" s="107">
        <v>52.37</v>
      </c>
      <c r="E288" s="258">
        <v>308.98</v>
      </c>
      <c r="F288" s="259" t="s">
        <v>375</v>
      </c>
      <c r="G288" s="107" t="s">
        <v>321</v>
      </c>
      <c r="I288" s="65" t="s">
        <v>68</v>
      </c>
      <c r="J288" s="65" t="s">
        <v>59</v>
      </c>
      <c r="K288" s="67">
        <v>170</v>
      </c>
      <c r="L288" s="67">
        <v>7.2</v>
      </c>
      <c r="M288" s="65">
        <f t="shared" si="19"/>
        <v>1224</v>
      </c>
      <c r="Q288" s="65"/>
      <c r="R288" s="65"/>
      <c r="S288" s="65"/>
      <c r="T288" s="65"/>
    </row>
    <row r="289" spans="1:23" x14ac:dyDescent="0.25">
      <c r="B289" s="257" t="s">
        <v>429</v>
      </c>
      <c r="C289" s="107" t="s">
        <v>440</v>
      </c>
      <c r="D289" s="107">
        <v>431.8</v>
      </c>
      <c r="E289" s="258">
        <v>2547.62</v>
      </c>
      <c r="F289" s="259" t="s">
        <v>375</v>
      </c>
      <c r="G289" s="107" t="s">
        <v>321</v>
      </c>
      <c r="H289" s="91">
        <v>-1000</v>
      </c>
      <c r="I289" s="65" t="s">
        <v>69</v>
      </c>
      <c r="J289" s="65" t="s">
        <v>59</v>
      </c>
      <c r="K289" s="68"/>
      <c r="L289" s="68"/>
      <c r="M289" s="65">
        <v>9800</v>
      </c>
      <c r="Q289" s="65"/>
      <c r="R289" s="65"/>
      <c r="S289" s="65"/>
      <c r="T289" s="65"/>
    </row>
    <row r="290" spans="1:23" x14ac:dyDescent="0.25">
      <c r="B290" s="72" t="s">
        <v>441</v>
      </c>
      <c r="C290" s="28" t="s">
        <v>442</v>
      </c>
      <c r="D290" s="26">
        <v>135.6</v>
      </c>
      <c r="E290" s="118">
        <v>800.04</v>
      </c>
      <c r="F290" s="26" t="s">
        <v>443</v>
      </c>
      <c r="G290" s="200" t="s">
        <v>204</v>
      </c>
      <c r="H290" s="1" t="s">
        <v>304</v>
      </c>
      <c r="I290" s="65"/>
      <c r="J290" s="65"/>
      <c r="K290" s="68">
        <f>SUM(K286:K289)</f>
        <v>6645</v>
      </c>
      <c r="L290" s="68"/>
      <c r="M290" s="65"/>
      <c r="Q290" s="65"/>
      <c r="R290" s="65"/>
      <c r="S290" s="65"/>
      <c r="T290" s="65"/>
      <c r="W290">
        <v>4000</v>
      </c>
    </row>
    <row r="291" spans="1:23" x14ac:dyDescent="0.25">
      <c r="B291" s="72" t="s">
        <v>441</v>
      </c>
      <c r="C291" s="77" t="s">
        <v>444</v>
      </c>
      <c r="D291" s="77">
        <v>59.6</v>
      </c>
      <c r="E291" s="118">
        <v>351.64</v>
      </c>
      <c r="F291" s="26" t="s">
        <v>445</v>
      </c>
      <c r="G291" s="77" t="s">
        <v>204</v>
      </c>
      <c r="H291" s="265" t="s">
        <v>304</v>
      </c>
      <c r="I291" s="65" t="s">
        <v>70</v>
      </c>
      <c r="J291" s="65">
        <v>7000</v>
      </c>
      <c r="K291" s="65"/>
      <c r="L291" s="65"/>
      <c r="M291" s="65"/>
      <c r="Q291" s="65"/>
      <c r="R291" s="65"/>
      <c r="S291" s="65"/>
      <c r="T291" s="65"/>
    </row>
    <row r="292" spans="1:23" x14ac:dyDescent="0.25">
      <c r="B292" s="116" t="s">
        <v>446</v>
      </c>
      <c r="C292" s="117" t="s">
        <v>447</v>
      </c>
      <c r="D292" s="117">
        <v>445.3</v>
      </c>
      <c r="E292" s="118">
        <v>2627.27</v>
      </c>
      <c r="F292" s="119" t="s">
        <v>448</v>
      </c>
      <c r="G292" s="107" t="s">
        <v>321</v>
      </c>
      <c r="H292" s="106">
        <v>-1700</v>
      </c>
      <c r="I292" s="65"/>
      <c r="J292" s="65"/>
      <c r="K292" s="65"/>
      <c r="L292" s="65"/>
      <c r="M292" s="65">
        <f>SUM(M285:M291)</f>
        <v>59714</v>
      </c>
      <c r="Q292" s="98">
        <v>6645</v>
      </c>
      <c r="R292" s="98">
        <v>9000</v>
      </c>
      <c r="S292" s="98">
        <v>60550</v>
      </c>
      <c r="T292" s="98">
        <v>7000</v>
      </c>
    </row>
    <row r="293" spans="1:23" x14ac:dyDescent="0.25">
      <c r="B293" s="116" t="s">
        <v>449</v>
      </c>
      <c r="C293" s="117" t="s">
        <v>450</v>
      </c>
      <c r="D293" s="117">
        <v>300</v>
      </c>
      <c r="E293" s="118">
        <v>1770</v>
      </c>
      <c r="F293" s="119" t="s">
        <v>451</v>
      </c>
      <c r="G293" s="107" t="s">
        <v>321</v>
      </c>
      <c r="H293" s="115"/>
      <c r="I293" s="65"/>
      <c r="J293" s="65"/>
      <c r="K293" s="65"/>
      <c r="L293" s="65"/>
      <c r="M293" s="65">
        <v>835</v>
      </c>
    </row>
    <row r="294" spans="1:23" x14ac:dyDescent="0.25">
      <c r="B294" s="116" t="s">
        <v>455</v>
      </c>
      <c r="C294" s="117" t="s">
        <v>456</v>
      </c>
      <c r="D294" s="117">
        <v>30.6</v>
      </c>
      <c r="E294" s="118">
        <v>180.54</v>
      </c>
      <c r="F294" s="119" t="s">
        <v>457</v>
      </c>
      <c r="G294" s="117" t="s">
        <v>204</v>
      </c>
      <c r="H294" s="204" t="s">
        <v>305</v>
      </c>
      <c r="I294" s="65"/>
      <c r="J294" s="65"/>
      <c r="K294" s="65"/>
      <c r="L294" s="65"/>
      <c r="M294" s="112">
        <f>SUM(M292:M293)</f>
        <v>60549</v>
      </c>
    </row>
    <row r="295" spans="1:23" x14ac:dyDescent="0.25">
      <c r="B295" s="117" t="s">
        <v>455</v>
      </c>
      <c r="C295" s="191" t="s">
        <v>458</v>
      </c>
      <c r="D295" s="117">
        <v>491.4</v>
      </c>
      <c r="E295" s="118">
        <v>2899.26</v>
      </c>
      <c r="F295" s="119" t="s">
        <v>459</v>
      </c>
      <c r="G295" s="117" t="s">
        <v>204</v>
      </c>
      <c r="H295" s="115" t="s">
        <v>305</v>
      </c>
      <c r="K295" s="92" t="s">
        <v>99</v>
      </c>
      <c r="L295" s="92">
        <f>58.2+52+6.5+13</f>
        <v>129.69999999999999</v>
      </c>
      <c r="M295" s="92">
        <v>4.8</v>
      </c>
      <c r="N295" s="92">
        <f>L295*M295</f>
        <v>622.55999999999995</v>
      </c>
    </row>
    <row r="296" spans="1:23" x14ac:dyDescent="0.25">
      <c r="B296" s="117" t="s">
        <v>455</v>
      </c>
      <c r="C296" s="191" t="s">
        <v>460</v>
      </c>
      <c r="D296" s="119">
        <v>191.6</v>
      </c>
      <c r="E296" s="118">
        <v>1130.44</v>
      </c>
      <c r="F296" s="119" t="s">
        <v>461</v>
      </c>
      <c r="G296" s="117" t="s">
        <v>204</v>
      </c>
      <c r="H296" t="s">
        <v>304</v>
      </c>
      <c r="K296" s="92" t="s">
        <v>100</v>
      </c>
      <c r="L296" s="92">
        <v>40</v>
      </c>
      <c r="M296" s="92">
        <v>1.3</v>
      </c>
      <c r="N296" s="92">
        <f t="shared" ref="N296:N298" si="20">L296*M296</f>
        <v>52</v>
      </c>
    </row>
    <row r="297" spans="1:23" x14ac:dyDescent="0.25">
      <c r="B297" s="117" t="s">
        <v>462</v>
      </c>
      <c r="C297" s="191" t="s">
        <v>464</v>
      </c>
      <c r="D297" s="119">
        <v>115</v>
      </c>
      <c r="E297" s="118">
        <v>378.5</v>
      </c>
      <c r="F297" s="119" t="s">
        <v>463</v>
      </c>
      <c r="G297" s="117" t="s">
        <v>204</v>
      </c>
      <c r="H297" t="s">
        <v>305</v>
      </c>
      <c r="K297" s="92" t="s">
        <v>145</v>
      </c>
      <c r="L297" s="92">
        <v>16</v>
      </c>
      <c r="M297" s="92">
        <v>10</v>
      </c>
      <c r="N297" s="92">
        <f t="shared" si="20"/>
        <v>160</v>
      </c>
    </row>
    <row r="298" spans="1:23" x14ac:dyDescent="0.25">
      <c r="B298" s="117" t="s">
        <v>465</v>
      </c>
      <c r="C298" s="191" t="s">
        <v>466</v>
      </c>
      <c r="D298" s="119">
        <v>687.6</v>
      </c>
      <c r="E298" s="118">
        <v>4056.84</v>
      </c>
      <c r="F298" s="119" t="s">
        <v>467</v>
      </c>
      <c r="G298" s="117" t="s">
        <v>204</v>
      </c>
      <c r="H298" t="s">
        <v>304</v>
      </c>
      <c r="K298" s="92"/>
      <c r="L298" s="92"/>
      <c r="M298" s="92"/>
      <c r="N298" s="92">
        <f t="shared" si="20"/>
        <v>0</v>
      </c>
    </row>
    <row r="299" spans="1:23" x14ac:dyDescent="0.25">
      <c r="B299" s="116" t="s">
        <v>468</v>
      </c>
      <c r="C299" s="117" t="s">
        <v>469</v>
      </c>
      <c r="D299" s="117">
        <v>511.6</v>
      </c>
      <c r="E299" s="118">
        <v>3018.44</v>
      </c>
      <c r="F299" s="119" t="s">
        <v>451</v>
      </c>
      <c r="G299" s="107" t="s">
        <v>321</v>
      </c>
      <c r="N299" s="92">
        <f>SUM(N295:N298)</f>
        <v>834.56</v>
      </c>
    </row>
    <row r="300" spans="1:23" x14ac:dyDescent="0.25">
      <c r="A300" s="92"/>
      <c r="B300" s="116" t="s">
        <v>470</v>
      </c>
      <c r="C300" s="117" t="s">
        <v>471</v>
      </c>
      <c r="D300" s="117">
        <v>306.2</v>
      </c>
      <c r="E300" s="118">
        <v>1806.58</v>
      </c>
      <c r="F300" s="119" t="s">
        <v>457</v>
      </c>
      <c r="G300" s="117" t="s">
        <v>204</v>
      </c>
      <c r="H300" s="204" t="s">
        <v>304</v>
      </c>
    </row>
    <row r="301" spans="1:23" x14ac:dyDescent="0.25">
      <c r="A301" s="92"/>
      <c r="B301" s="116" t="s">
        <v>472</v>
      </c>
      <c r="C301" s="117" t="s">
        <v>473</v>
      </c>
      <c r="D301" s="117">
        <v>58.4</v>
      </c>
      <c r="E301" s="118">
        <v>344.56</v>
      </c>
      <c r="F301" s="119" t="s">
        <v>474</v>
      </c>
      <c r="G301" s="117" t="s">
        <v>204</v>
      </c>
      <c r="H301" s="204" t="s">
        <v>305</v>
      </c>
    </row>
    <row r="302" spans="1:23" x14ac:dyDescent="0.25">
      <c r="B302" s="72" t="s">
        <v>472</v>
      </c>
      <c r="C302" s="77" t="s">
        <v>475</v>
      </c>
      <c r="D302" s="77">
        <v>50</v>
      </c>
      <c r="E302" s="85">
        <v>295</v>
      </c>
      <c r="F302" s="119" t="s">
        <v>474</v>
      </c>
      <c r="G302" s="117" t="s">
        <v>204</v>
      </c>
      <c r="H302" t="s">
        <v>160</v>
      </c>
    </row>
    <row r="303" spans="1:23" x14ac:dyDescent="0.25">
      <c r="B303" s="72" t="s">
        <v>476</v>
      </c>
      <c r="C303" s="77" t="s">
        <v>477</v>
      </c>
      <c r="D303" s="77">
        <v>512.5</v>
      </c>
      <c r="E303" s="85">
        <v>3023.75</v>
      </c>
      <c r="F303" s="119" t="s">
        <v>478</v>
      </c>
      <c r="G303" s="117" t="s">
        <v>204</v>
      </c>
      <c r="H303" t="s">
        <v>305</v>
      </c>
    </row>
    <row r="304" spans="1:23" x14ac:dyDescent="0.25">
      <c r="B304" s="72" t="s">
        <v>480</v>
      </c>
      <c r="C304" s="77" t="s">
        <v>481</v>
      </c>
      <c r="D304" s="77">
        <v>170</v>
      </c>
      <c r="E304" s="85">
        <v>1003</v>
      </c>
      <c r="F304" s="119" t="s">
        <v>482</v>
      </c>
      <c r="G304" s="117" t="s">
        <v>204</v>
      </c>
      <c r="H304" t="s">
        <v>305</v>
      </c>
    </row>
    <row r="305" spans="2:14" x14ac:dyDescent="0.25">
      <c r="B305" s="72" t="s">
        <v>480</v>
      </c>
      <c r="C305" s="77" t="s">
        <v>483</v>
      </c>
      <c r="D305" s="77">
        <v>77.2</v>
      </c>
      <c r="E305" s="85">
        <v>455.48</v>
      </c>
      <c r="F305" s="119" t="s">
        <v>461</v>
      </c>
      <c r="G305" s="107" t="s">
        <v>321</v>
      </c>
      <c r="N305" t="s">
        <v>168</v>
      </c>
    </row>
    <row r="306" spans="2:14" x14ac:dyDescent="0.25">
      <c r="B306" s="72" t="s">
        <v>486</v>
      </c>
      <c r="C306" s="77" t="s">
        <v>484</v>
      </c>
      <c r="D306" s="77">
        <v>11.9</v>
      </c>
      <c r="E306" s="85">
        <v>70.209999999999994</v>
      </c>
      <c r="F306" s="119" t="s">
        <v>485</v>
      </c>
      <c r="G306" s="117" t="s">
        <v>204</v>
      </c>
      <c r="H306" t="s">
        <v>304</v>
      </c>
    </row>
    <row r="307" spans="2:14" x14ac:dyDescent="0.25">
      <c r="B307" s="72" t="s">
        <v>486</v>
      </c>
      <c r="C307" s="77" t="s">
        <v>487</v>
      </c>
      <c r="D307" s="77">
        <v>542.4</v>
      </c>
      <c r="E307" s="85">
        <v>3200.16</v>
      </c>
      <c r="F307" s="26" t="s">
        <v>488</v>
      </c>
      <c r="G307" s="107" t="s">
        <v>321</v>
      </c>
    </row>
    <row r="308" spans="2:14" x14ac:dyDescent="0.25">
      <c r="B308" s="72" t="s">
        <v>486</v>
      </c>
      <c r="C308" s="77" t="s">
        <v>489</v>
      </c>
      <c r="D308" s="77">
        <v>618</v>
      </c>
      <c r="E308" s="85">
        <v>3646.2</v>
      </c>
      <c r="F308" s="26" t="s">
        <v>488</v>
      </c>
      <c r="G308" s="117" t="s">
        <v>204</v>
      </c>
      <c r="H308" t="s">
        <v>305</v>
      </c>
    </row>
    <row r="309" spans="2:14" x14ac:dyDescent="0.25">
      <c r="B309" s="73"/>
      <c r="C309" s="78"/>
      <c r="D309" s="78"/>
      <c r="E309" s="87">
        <f>SUM(E284:E308)</f>
        <v>35394.480000000003</v>
      </c>
      <c r="F309" s="59"/>
      <c r="G309" s="39"/>
    </row>
    <row r="310" spans="2:14" x14ac:dyDescent="0.25">
      <c r="B310" s="8"/>
      <c r="C310" s="39"/>
      <c r="D310" s="39"/>
      <c r="E310" s="50"/>
      <c r="F310" s="2"/>
      <c r="G310" s="39"/>
    </row>
    <row r="311" spans="2:14" x14ac:dyDescent="0.25">
      <c r="B311" s="270" t="s">
        <v>74</v>
      </c>
      <c r="C311" s="270"/>
      <c r="D311" s="137">
        <f>SUM(D284:D310)</f>
        <v>6049.8699999999981</v>
      </c>
      <c r="E311" s="50"/>
      <c r="F311" s="2"/>
      <c r="G311" s="39"/>
    </row>
    <row r="315" spans="2:14" ht="15.75" x14ac:dyDescent="0.25">
      <c r="B315" s="41"/>
      <c r="C315" s="42"/>
      <c r="D315" s="42"/>
      <c r="E315" s="43" t="s">
        <v>394</v>
      </c>
      <c r="F315" s="44"/>
      <c r="G315" s="45"/>
      <c r="H315" s="46"/>
      <c r="I315" s="47"/>
      <c r="J315" s="43" t="s">
        <v>394</v>
      </c>
      <c r="K315" s="47"/>
      <c r="L315" s="49"/>
      <c r="M315" s="49"/>
    </row>
    <row r="316" spans="2:14" x14ac:dyDescent="0.25">
      <c r="B316" s="8"/>
      <c r="C316" s="39"/>
      <c r="D316" s="39"/>
      <c r="E316" s="50"/>
      <c r="F316" s="2"/>
      <c r="G316" s="39"/>
    </row>
    <row r="317" spans="2:14" ht="15.75" x14ac:dyDescent="0.25">
      <c r="B317" s="51" t="s">
        <v>58</v>
      </c>
      <c r="C317" s="2"/>
      <c r="D317" s="52" t="s">
        <v>59</v>
      </c>
      <c r="E317" s="53">
        <f>E279</f>
        <v>24520.960000000003</v>
      </c>
      <c r="F317" s="2"/>
      <c r="G317" s="63" t="s">
        <v>60</v>
      </c>
      <c r="H317" s="63"/>
      <c r="I317" s="54"/>
      <c r="J317" s="55" t="s">
        <v>59</v>
      </c>
      <c r="K317" s="56">
        <f>K279</f>
        <v>24877</v>
      </c>
    </row>
    <row r="318" spans="2:14" x14ac:dyDescent="0.25">
      <c r="B318" s="57" t="s">
        <v>61</v>
      </c>
      <c r="C318" s="2"/>
      <c r="D318" s="52"/>
      <c r="E318" s="58"/>
      <c r="F318" s="2"/>
      <c r="G318" s="269" t="s">
        <v>61</v>
      </c>
      <c r="H318" s="269"/>
      <c r="I318" s="54"/>
      <c r="J318" s="55" t="s">
        <v>59</v>
      </c>
      <c r="K318" s="54"/>
    </row>
    <row r="319" spans="2:14" x14ac:dyDescent="0.25">
      <c r="B319" s="57" t="s">
        <v>62</v>
      </c>
      <c r="C319" s="2"/>
      <c r="D319" s="52"/>
      <c r="E319" s="58">
        <f>D347</f>
        <v>2403.6</v>
      </c>
      <c r="F319" s="2"/>
      <c r="G319" s="269" t="s">
        <v>62</v>
      </c>
      <c r="H319" s="269"/>
      <c r="I319" s="54"/>
      <c r="J319" s="55" t="s">
        <v>59</v>
      </c>
      <c r="K319" s="54">
        <f>K330</f>
        <v>3520</v>
      </c>
    </row>
    <row r="320" spans="2:14" ht="15.75" x14ac:dyDescent="0.25">
      <c r="B320" s="60" t="s">
        <v>63</v>
      </c>
      <c r="C320" s="39"/>
      <c r="D320" s="39"/>
      <c r="E320" s="61">
        <f>E317+E318-E319</f>
        <v>22117.360000000004</v>
      </c>
      <c r="F320" s="2"/>
      <c r="G320" s="62" t="s">
        <v>64</v>
      </c>
      <c r="H320" s="62"/>
      <c r="J320" s="54" t="s">
        <v>59</v>
      </c>
      <c r="K320" s="62">
        <f>K317+K318-K319</f>
        <v>21357</v>
      </c>
    </row>
    <row r="323" spans="2:23" x14ac:dyDescent="0.25">
      <c r="K323" s="129" t="s">
        <v>118</v>
      </c>
    </row>
    <row r="324" spans="2:23" x14ac:dyDescent="0.25">
      <c r="B324" s="69" t="s">
        <v>14</v>
      </c>
      <c r="C324" s="74" t="s">
        <v>75</v>
      </c>
      <c r="D324" s="74" t="s">
        <v>71</v>
      </c>
      <c r="E324" s="81" t="s">
        <v>18</v>
      </c>
      <c r="F324" s="74" t="s">
        <v>16</v>
      </c>
      <c r="G324" s="89" t="s">
        <v>76</v>
      </c>
      <c r="I324" s="64" t="s">
        <v>65</v>
      </c>
      <c r="K324" s="66" t="s">
        <v>71</v>
      </c>
      <c r="L324" s="66" t="s">
        <v>72</v>
      </c>
      <c r="M324" s="66" t="s">
        <v>73</v>
      </c>
    </row>
    <row r="325" spans="2:23" x14ac:dyDescent="0.25">
      <c r="B325" s="131" t="s">
        <v>490</v>
      </c>
      <c r="C325" s="212" t="s">
        <v>491</v>
      </c>
      <c r="D325" s="213">
        <v>57.4</v>
      </c>
      <c r="E325" s="214">
        <v>338.66</v>
      </c>
      <c r="F325" s="213" t="s">
        <v>467</v>
      </c>
      <c r="G325" s="264" t="s">
        <v>204</v>
      </c>
      <c r="H325" s="91"/>
    </row>
    <row r="326" spans="2:23" x14ac:dyDescent="0.25">
      <c r="B326" s="71" t="s">
        <v>492</v>
      </c>
      <c r="C326" s="76" t="s">
        <v>493</v>
      </c>
      <c r="D326" s="80">
        <v>149.5</v>
      </c>
      <c r="E326" s="83">
        <v>882.05</v>
      </c>
      <c r="F326" s="88" t="s">
        <v>494</v>
      </c>
      <c r="G326" s="90" t="s">
        <v>204</v>
      </c>
      <c r="H326" t="s">
        <v>305</v>
      </c>
      <c r="I326" s="65" t="s">
        <v>66</v>
      </c>
      <c r="J326" s="65" t="s">
        <v>59</v>
      </c>
      <c r="K326" s="67">
        <v>3260</v>
      </c>
      <c r="L326" s="67">
        <v>7.3</v>
      </c>
      <c r="M326" s="65">
        <f>K326*L326</f>
        <v>23798</v>
      </c>
    </row>
    <row r="327" spans="2:23" x14ac:dyDescent="0.25">
      <c r="B327" s="70" t="s">
        <v>492</v>
      </c>
      <c r="C327" s="28" t="s">
        <v>495</v>
      </c>
      <c r="D327" s="26">
        <v>150</v>
      </c>
      <c r="E327" s="84">
        <v>885</v>
      </c>
      <c r="F327" s="26" t="s">
        <v>496</v>
      </c>
      <c r="G327" s="109" t="s">
        <v>204</v>
      </c>
      <c r="I327" s="65" t="s">
        <v>67</v>
      </c>
      <c r="J327" s="65" t="s">
        <v>59</v>
      </c>
      <c r="K327" s="67">
        <v>200</v>
      </c>
      <c r="L327" s="67">
        <v>8.3000000000000007</v>
      </c>
      <c r="M327" s="65">
        <f t="shared" ref="M327:M328" si="21">K327*L327</f>
        <v>1660.0000000000002</v>
      </c>
    </row>
    <row r="328" spans="2:23" x14ac:dyDescent="0.25">
      <c r="B328" s="72" t="s">
        <v>497</v>
      </c>
      <c r="C328" s="28" t="s">
        <v>498</v>
      </c>
      <c r="D328" s="26">
        <v>106.2</v>
      </c>
      <c r="E328" s="84">
        <v>626.58000000000004</v>
      </c>
      <c r="F328" s="26" t="s">
        <v>499</v>
      </c>
      <c r="G328" s="109" t="s">
        <v>204</v>
      </c>
      <c r="I328" s="65" t="s">
        <v>68</v>
      </c>
      <c r="J328" s="65" t="s">
        <v>59</v>
      </c>
      <c r="K328" s="67">
        <v>60</v>
      </c>
      <c r="L328" s="67">
        <v>7.1</v>
      </c>
      <c r="M328" s="65">
        <f t="shared" si="21"/>
        <v>426</v>
      </c>
    </row>
    <row r="329" spans="2:23" x14ac:dyDescent="0.25">
      <c r="B329" s="71" t="s">
        <v>506</v>
      </c>
      <c r="C329" s="76" t="s">
        <v>507</v>
      </c>
      <c r="D329" s="80">
        <v>657</v>
      </c>
      <c r="E329" s="83">
        <v>3876.3</v>
      </c>
      <c r="F329" s="88" t="s">
        <v>478</v>
      </c>
      <c r="G329" s="77" t="s">
        <v>204</v>
      </c>
      <c r="H329" s="133"/>
      <c r="I329" s="65" t="s">
        <v>69</v>
      </c>
      <c r="J329" s="65" t="s">
        <v>59</v>
      </c>
      <c r="K329" s="68"/>
      <c r="L329" s="68"/>
      <c r="M329" s="65">
        <v>6300</v>
      </c>
    </row>
    <row r="330" spans="2:23" x14ac:dyDescent="0.25">
      <c r="B330" s="72" t="s">
        <v>506</v>
      </c>
      <c r="C330" s="28" t="s">
        <v>508</v>
      </c>
      <c r="D330" s="26">
        <v>598.79999999999995</v>
      </c>
      <c r="E330" s="84">
        <v>3532.92</v>
      </c>
      <c r="F330" s="26" t="s">
        <v>509</v>
      </c>
      <c r="G330" s="90" t="s">
        <v>204</v>
      </c>
      <c r="H330" t="s">
        <v>514</v>
      </c>
      <c r="I330" s="65"/>
      <c r="J330" s="65"/>
      <c r="K330" s="68">
        <f>SUM(K326:K329)</f>
        <v>3520</v>
      </c>
      <c r="L330" s="68"/>
      <c r="M330" s="65"/>
      <c r="Q330" s="66" t="s">
        <v>66</v>
      </c>
      <c r="R330" s="66" t="s">
        <v>93</v>
      </c>
      <c r="S330" s="66" t="s">
        <v>94</v>
      </c>
      <c r="T330" s="66" t="s">
        <v>70</v>
      </c>
    </row>
    <row r="331" spans="2:23" x14ac:dyDescent="0.25">
      <c r="B331" s="72" t="s">
        <v>510</v>
      </c>
      <c r="C331" s="77" t="s">
        <v>511</v>
      </c>
      <c r="D331" s="77">
        <v>60.2</v>
      </c>
      <c r="E331" s="85">
        <v>355.18</v>
      </c>
      <c r="F331" s="26" t="s">
        <v>512</v>
      </c>
      <c r="G331" s="90" t="s">
        <v>204</v>
      </c>
      <c r="I331" s="65" t="s">
        <v>70</v>
      </c>
      <c r="J331" s="65">
        <v>4500</v>
      </c>
      <c r="K331" s="65"/>
      <c r="L331" s="65"/>
      <c r="M331" s="65"/>
      <c r="Q331" s="65">
        <v>35620</v>
      </c>
      <c r="R331" s="65">
        <v>6300</v>
      </c>
      <c r="S331" s="65">
        <v>34252</v>
      </c>
      <c r="T331" s="65">
        <v>4500</v>
      </c>
    </row>
    <row r="332" spans="2:23" x14ac:dyDescent="0.25">
      <c r="B332" s="116" t="s">
        <v>516</v>
      </c>
      <c r="C332" s="117" t="s">
        <v>515</v>
      </c>
      <c r="D332" s="117">
        <v>425</v>
      </c>
      <c r="E332" s="118">
        <v>2006</v>
      </c>
      <c r="F332" s="26" t="s">
        <v>517</v>
      </c>
      <c r="G332" s="117" t="s">
        <v>200</v>
      </c>
      <c r="H332" s="106">
        <v>1000</v>
      </c>
      <c r="I332" s="65"/>
      <c r="J332" s="65"/>
      <c r="K332" s="65"/>
      <c r="L332" s="65"/>
      <c r="M332" s="65">
        <f>SUM(M326:M331)</f>
        <v>32184</v>
      </c>
      <c r="Q332" s="65"/>
      <c r="R332" s="65"/>
      <c r="S332" s="65"/>
      <c r="T332" s="65"/>
    </row>
    <row r="333" spans="2:23" x14ac:dyDescent="0.25">
      <c r="B333" s="116" t="s">
        <v>518</v>
      </c>
      <c r="C333" s="117" t="s">
        <v>519</v>
      </c>
      <c r="D333" s="117">
        <v>169.5</v>
      </c>
      <c r="E333" s="118">
        <v>1000.05</v>
      </c>
      <c r="F333" s="26" t="s">
        <v>520</v>
      </c>
      <c r="G333" s="117" t="s">
        <v>200</v>
      </c>
      <c r="I333" s="65"/>
      <c r="J333" s="65"/>
      <c r="K333" s="65"/>
      <c r="L333" s="65"/>
      <c r="M333" s="65">
        <v>2168</v>
      </c>
      <c r="Q333" s="65"/>
      <c r="R333" s="65"/>
      <c r="S333" s="65"/>
      <c r="T333" s="65"/>
    </row>
    <row r="334" spans="2:23" x14ac:dyDescent="0.25">
      <c r="B334" s="116" t="s">
        <v>521</v>
      </c>
      <c r="C334" s="117" t="s">
        <v>522</v>
      </c>
      <c r="D334" s="117">
        <v>30</v>
      </c>
      <c r="E334" s="118">
        <v>177</v>
      </c>
      <c r="F334" s="119" t="s">
        <v>523</v>
      </c>
      <c r="G334" s="117" t="s">
        <v>204</v>
      </c>
      <c r="I334" s="65"/>
      <c r="J334" s="65"/>
      <c r="K334" s="65"/>
      <c r="L334" s="65"/>
      <c r="M334" s="65">
        <f>SUM(M332:M333)</f>
        <v>34352</v>
      </c>
      <c r="Q334" s="65"/>
      <c r="R334" s="65"/>
      <c r="S334" s="65"/>
      <c r="T334" s="65"/>
      <c r="W334">
        <v>3300</v>
      </c>
    </row>
    <row r="335" spans="2:23" x14ac:dyDescent="0.25">
      <c r="B335" s="116"/>
      <c r="C335" s="117"/>
      <c r="D335" s="117"/>
      <c r="E335" s="118"/>
      <c r="F335" s="119"/>
      <c r="G335" s="117"/>
      <c r="Q335" s="98"/>
      <c r="R335" s="98"/>
      <c r="S335" s="98"/>
      <c r="T335" s="98"/>
    </row>
    <row r="336" spans="2:23" x14ac:dyDescent="0.25">
      <c r="B336" s="116"/>
      <c r="C336" s="117"/>
      <c r="D336" s="117"/>
      <c r="E336" s="118"/>
      <c r="F336" s="119"/>
      <c r="G336" s="117"/>
      <c r="K336" s="65"/>
      <c r="L336" s="65"/>
      <c r="M336" s="65"/>
    </row>
    <row r="337" spans="2:14" x14ac:dyDescent="0.25">
      <c r="B337" s="116"/>
      <c r="C337" s="117"/>
      <c r="D337" s="117"/>
      <c r="E337" s="118"/>
      <c r="F337" s="119"/>
      <c r="G337" s="117"/>
      <c r="H337" s="204" t="s">
        <v>138</v>
      </c>
      <c r="K337" s="65"/>
      <c r="L337" s="65"/>
      <c r="M337" s="112"/>
    </row>
    <row r="338" spans="2:14" x14ac:dyDescent="0.25">
      <c r="B338" s="10"/>
      <c r="C338" s="40"/>
      <c r="D338" s="40"/>
      <c r="E338" s="86"/>
      <c r="F338" s="26"/>
      <c r="G338" s="40"/>
      <c r="K338" s="92" t="s">
        <v>99</v>
      </c>
      <c r="L338" s="92">
        <v>350</v>
      </c>
      <c r="M338" s="92">
        <v>5.6</v>
      </c>
      <c r="N338" s="92">
        <f>L338*M338</f>
        <v>1959.9999999999998</v>
      </c>
    </row>
    <row r="339" spans="2:14" x14ac:dyDescent="0.25">
      <c r="B339" s="10"/>
      <c r="C339" s="40"/>
      <c r="D339" s="40"/>
      <c r="E339" s="86"/>
      <c r="F339" s="4"/>
      <c r="G339" s="40"/>
      <c r="K339" s="92" t="s">
        <v>100</v>
      </c>
      <c r="L339" s="92">
        <v>160</v>
      </c>
      <c r="M339" s="92">
        <v>1.3</v>
      </c>
      <c r="N339" s="92">
        <f>L339*M339</f>
        <v>208</v>
      </c>
    </row>
    <row r="340" spans="2:14" x14ac:dyDescent="0.25">
      <c r="B340" s="10"/>
      <c r="C340" s="40"/>
      <c r="D340" s="40"/>
      <c r="E340" s="86"/>
      <c r="F340" s="4"/>
      <c r="G340" s="40"/>
      <c r="K340" s="92"/>
      <c r="L340" s="92"/>
      <c r="M340" s="92"/>
      <c r="N340" s="92"/>
    </row>
    <row r="341" spans="2:14" x14ac:dyDescent="0.25">
      <c r="B341" s="10"/>
      <c r="C341" s="40"/>
      <c r="D341" s="40"/>
      <c r="E341" s="86"/>
      <c r="F341" s="4"/>
      <c r="G341" s="40"/>
      <c r="K341" s="92"/>
      <c r="L341" s="92"/>
      <c r="M341" s="92"/>
      <c r="N341" s="111">
        <f>SUM(N338:N340)</f>
        <v>2168</v>
      </c>
    </row>
    <row r="342" spans="2:14" x14ac:dyDescent="0.25">
      <c r="B342" s="72"/>
      <c r="C342" s="77"/>
      <c r="D342" s="77"/>
      <c r="E342" s="85"/>
      <c r="F342" s="26"/>
      <c r="G342" s="40"/>
    </row>
    <row r="343" spans="2:14" x14ac:dyDescent="0.25">
      <c r="B343" s="72"/>
      <c r="C343" s="77"/>
      <c r="D343" s="77"/>
      <c r="E343" s="85"/>
      <c r="F343" s="26"/>
      <c r="G343" s="40"/>
    </row>
    <row r="344" spans="2:14" x14ac:dyDescent="0.25">
      <c r="B344" s="72"/>
      <c r="C344" s="77"/>
      <c r="D344" s="77"/>
      <c r="E344" s="85"/>
      <c r="F344" s="26"/>
      <c r="G344" s="40"/>
    </row>
    <row r="345" spans="2:14" x14ac:dyDescent="0.25">
      <c r="B345" s="73"/>
      <c r="C345" s="78"/>
      <c r="D345" s="78"/>
      <c r="E345" s="87">
        <f>SUM(E325:E344)</f>
        <v>13679.74</v>
      </c>
      <c r="F345" s="59"/>
      <c r="G345" s="39"/>
    </row>
    <row r="346" spans="2:14" x14ac:dyDescent="0.25">
      <c r="B346" s="8"/>
      <c r="C346" s="39"/>
      <c r="D346" s="39"/>
      <c r="E346" s="50"/>
      <c r="F346" s="2"/>
      <c r="G346" s="39"/>
    </row>
    <row r="347" spans="2:14" x14ac:dyDescent="0.25">
      <c r="B347" s="270" t="s">
        <v>74</v>
      </c>
      <c r="C347" s="270"/>
      <c r="D347" s="137">
        <f>SUM(D325:D346)</f>
        <v>2403.6</v>
      </c>
      <c r="E347" s="50"/>
      <c r="F347" s="2"/>
      <c r="G347" s="39"/>
    </row>
    <row r="352" spans="2:14" ht="15.75" x14ac:dyDescent="0.25">
      <c r="B352" s="41"/>
      <c r="C352" s="42"/>
      <c r="D352" s="42"/>
      <c r="E352" s="43" t="s">
        <v>395</v>
      </c>
      <c r="F352" s="44"/>
      <c r="G352" s="45"/>
      <c r="H352" s="46"/>
      <c r="I352" s="47"/>
      <c r="J352" s="43" t="s">
        <v>395</v>
      </c>
      <c r="K352" s="47"/>
      <c r="L352" s="49"/>
      <c r="M352" s="49"/>
    </row>
    <row r="353" spans="2:23" x14ac:dyDescent="0.25">
      <c r="B353" s="8"/>
      <c r="C353" s="39"/>
      <c r="D353" s="39"/>
      <c r="E353" s="50"/>
      <c r="F353" s="2"/>
      <c r="G353" s="39"/>
    </row>
    <row r="354" spans="2:23" ht="15.75" x14ac:dyDescent="0.25">
      <c r="B354" s="51" t="s">
        <v>58</v>
      </c>
      <c r="C354" s="2"/>
      <c r="D354" s="52" t="s">
        <v>59</v>
      </c>
      <c r="E354" s="53">
        <f>E320</f>
        <v>22117.360000000004</v>
      </c>
      <c r="F354" s="2"/>
      <c r="G354" s="63" t="s">
        <v>60</v>
      </c>
      <c r="H354" s="63"/>
      <c r="I354" s="54"/>
      <c r="J354" s="55" t="s">
        <v>59</v>
      </c>
      <c r="K354" s="56">
        <f>K320</f>
        <v>21357</v>
      </c>
    </row>
    <row r="355" spans="2:23" x14ac:dyDescent="0.25">
      <c r="B355" s="57" t="s">
        <v>61</v>
      </c>
      <c r="C355" s="2">
        <v>4</v>
      </c>
      <c r="D355" s="52"/>
      <c r="E355" s="58">
        <v>6128</v>
      </c>
      <c r="F355" s="2"/>
      <c r="G355" s="269" t="s">
        <v>61</v>
      </c>
      <c r="H355" s="269"/>
      <c r="I355" s="54">
        <v>5</v>
      </c>
      <c r="J355" s="55" t="s">
        <v>59</v>
      </c>
      <c r="K355" s="54">
        <v>6128</v>
      </c>
    </row>
    <row r="356" spans="2:23" x14ac:dyDescent="0.25">
      <c r="B356" s="57" t="s">
        <v>62</v>
      </c>
      <c r="C356" s="2"/>
      <c r="D356" s="52" t="s">
        <v>59</v>
      </c>
      <c r="E356" s="58">
        <f>D384</f>
        <v>2855.5</v>
      </c>
      <c r="F356" s="2"/>
      <c r="G356" s="269" t="s">
        <v>62</v>
      </c>
      <c r="H356" s="269"/>
      <c r="I356" s="54"/>
      <c r="J356" s="55" t="s">
        <v>59</v>
      </c>
      <c r="K356" s="54">
        <v>4907</v>
      </c>
    </row>
    <row r="357" spans="2:23" ht="15.75" x14ac:dyDescent="0.25">
      <c r="B357" s="60" t="s">
        <v>63</v>
      </c>
      <c r="C357" s="39"/>
      <c r="D357" s="39"/>
      <c r="E357" s="61">
        <f>E354+E355-E356</f>
        <v>25389.860000000004</v>
      </c>
      <c r="F357" s="2"/>
      <c r="G357" s="62" t="s">
        <v>64</v>
      </c>
      <c r="H357" s="62"/>
      <c r="J357" s="54" t="s">
        <v>59</v>
      </c>
      <c r="K357" s="62">
        <f>K354+K355-K356</f>
        <v>22578</v>
      </c>
    </row>
    <row r="359" spans="2:23" x14ac:dyDescent="0.25">
      <c r="Q359" s="66" t="s">
        <v>66</v>
      </c>
      <c r="R359" s="66" t="s">
        <v>93</v>
      </c>
      <c r="S359" s="66" t="s">
        <v>94</v>
      </c>
      <c r="T359" s="66" t="s">
        <v>70</v>
      </c>
    </row>
    <row r="360" spans="2:23" x14ac:dyDescent="0.25">
      <c r="K360" t="s">
        <v>166</v>
      </c>
      <c r="Q360" s="65"/>
      <c r="R360" s="65"/>
      <c r="S360" s="65"/>
      <c r="T360" s="65"/>
    </row>
    <row r="361" spans="2:23" x14ac:dyDescent="0.25">
      <c r="B361" s="69" t="s">
        <v>14</v>
      </c>
      <c r="C361" s="74" t="s">
        <v>75</v>
      </c>
      <c r="D361" s="74" t="s">
        <v>71</v>
      </c>
      <c r="E361" s="81" t="s">
        <v>18</v>
      </c>
      <c r="F361" s="74" t="s">
        <v>16</v>
      </c>
      <c r="G361" s="89" t="s">
        <v>76</v>
      </c>
      <c r="I361" s="64" t="s">
        <v>65</v>
      </c>
      <c r="K361" s="66" t="s">
        <v>71</v>
      </c>
      <c r="L361" s="66" t="s">
        <v>72</v>
      </c>
      <c r="M361" s="66" t="s">
        <v>73</v>
      </c>
      <c r="Q361" s="65"/>
      <c r="R361" s="65"/>
      <c r="S361" s="65"/>
      <c r="T361" s="65"/>
    </row>
    <row r="362" spans="2:23" x14ac:dyDescent="0.25">
      <c r="B362" s="116" t="s">
        <v>525</v>
      </c>
      <c r="C362" s="117" t="s">
        <v>524</v>
      </c>
      <c r="D362" s="117">
        <v>53</v>
      </c>
      <c r="E362" s="118">
        <v>250.16</v>
      </c>
      <c r="F362" s="119" t="s">
        <v>527</v>
      </c>
      <c r="G362" s="117" t="s">
        <v>204</v>
      </c>
      <c r="H362" s="91" t="s">
        <v>167</v>
      </c>
      <c r="Q362" s="65"/>
      <c r="R362" s="65"/>
      <c r="S362" s="65"/>
      <c r="T362" s="65"/>
      <c r="W362">
        <v>6100</v>
      </c>
    </row>
    <row r="363" spans="2:23" x14ac:dyDescent="0.25">
      <c r="B363" s="71" t="s">
        <v>525</v>
      </c>
      <c r="C363" s="76" t="s">
        <v>526</v>
      </c>
      <c r="D363" s="80">
        <v>54</v>
      </c>
      <c r="E363" s="118">
        <v>254.8</v>
      </c>
      <c r="F363" s="119" t="s">
        <v>527</v>
      </c>
      <c r="G363" s="90" t="s">
        <v>204</v>
      </c>
      <c r="H363" t="s">
        <v>167</v>
      </c>
      <c r="I363" s="65" t="s">
        <v>66</v>
      </c>
      <c r="J363" s="65" t="s">
        <v>59</v>
      </c>
      <c r="K363" s="67">
        <v>3412</v>
      </c>
      <c r="L363" s="67">
        <v>7.4</v>
      </c>
      <c r="M363" s="65">
        <f>K363*L363</f>
        <v>25248.800000000003</v>
      </c>
      <c r="Q363" s="65"/>
      <c r="R363" s="65"/>
      <c r="S363" s="65"/>
      <c r="T363" s="65"/>
    </row>
    <row r="364" spans="2:23" x14ac:dyDescent="0.25">
      <c r="B364" s="120" t="s">
        <v>525</v>
      </c>
      <c r="C364" s="117" t="s">
        <v>528</v>
      </c>
      <c r="D364" s="117">
        <v>170</v>
      </c>
      <c r="E364" s="118">
        <v>1003</v>
      </c>
      <c r="F364" s="119" t="s">
        <v>529</v>
      </c>
      <c r="G364" s="77" t="s">
        <v>204</v>
      </c>
      <c r="I364" s="65" t="s">
        <v>67</v>
      </c>
      <c r="J364" s="65" t="s">
        <v>59</v>
      </c>
      <c r="K364" s="67">
        <v>1015</v>
      </c>
      <c r="L364" s="67">
        <v>8.4</v>
      </c>
      <c r="M364" s="65">
        <f t="shared" ref="M364:M365" si="22">K364*L364</f>
        <v>8526</v>
      </c>
      <c r="Q364" s="98"/>
      <c r="R364" s="98"/>
      <c r="T364" s="98"/>
    </row>
    <row r="365" spans="2:23" x14ac:dyDescent="0.25">
      <c r="B365" s="72" t="s">
        <v>530</v>
      </c>
      <c r="C365" s="28" t="s">
        <v>531</v>
      </c>
      <c r="D365" s="26">
        <v>1706.2</v>
      </c>
      <c r="E365" s="118">
        <v>10066.58</v>
      </c>
      <c r="F365" s="26" t="s">
        <v>532</v>
      </c>
      <c r="G365" s="90" t="s">
        <v>200</v>
      </c>
      <c r="I365" s="65" t="s">
        <v>68</v>
      </c>
      <c r="J365" s="65" t="s">
        <v>59</v>
      </c>
      <c r="K365" s="67">
        <v>480</v>
      </c>
      <c r="L365" s="67">
        <v>7.2</v>
      </c>
      <c r="M365" s="65">
        <f t="shared" si="22"/>
        <v>3456</v>
      </c>
    </row>
    <row r="366" spans="2:23" x14ac:dyDescent="0.25">
      <c r="B366" s="70" t="s">
        <v>533</v>
      </c>
      <c r="C366" s="28" t="s">
        <v>534</v>
      </c>
      <c r="D366" s="26">
        <v>38.6</v>
      </c>
      <c r="E366" s="118">
        <v>227.74</v>
      </c>
      <c r="F366" s="26" t="s">
        <v>535</v>
      </c>
      <c r="G366" s="90" t="s">
        <v>204</v>
      </c>
      <c r="H366" s="91"/>
      <c r="I366" s="65" t="s">
        <v>69</v>
      </c>
      <c r="J366" s="65" t="s">
        <v>59</v>
      </c>
      <c r="K366" s="68"/>
      <c r="L366" s="68"/>
      <c r="M366" s="65"/>
    </row>
    <row r="367" spans="2:23" x14ac:dyDescent="0.25">
      <c r="B367" s="72" t="s">
        <v>533</v>
      </c>
      <c r="C367" s="28" t="s">
        <v>536</v>
      </c>
      <c r="D367" s="26">
        <v>56.7</v>
      </c>
      <c r="E367" s="118">
        <v>334.53</v>
      </c>
      <c r="F367" s="26" t="s">
        <v>537</v>
      </c>
      <c r="G367" s="90" t="s">
        <v>204</v>
      </c>
      <c r="I367" s="65"/>
      <c r="J367" s="65"/>
      <c r="K367" s="68">
        <f>SUM(K363:K366)</f>
        <v>4907</v>
      </c>
      <c r="L367" s="68"/>
      <c r="M367" s="65"/>
    </row>
    <row r="368" spans="2:23" x14ac:dyDescent="0.25">
      <c r="B368" s="72" t="s">
        <v>538</v>
      </c>
      <c r="C368" s="77" t="s">
        <v>539</v>
      </c>
      <c r="D368" s="77">
        <v>470.6</v>
      </c>
      <c r="E368" s="118">
        <v>2776.54</v>
      </c>
      <c r="F368" s="26" t="s">
        <v>540</v>
      </c>
      <c r="G368" s="90" t="s">
        <v>541</v>
      </c>
      <c r="I368" s="65" t="s">
        <v>70</v>
      </c>
      <c r="J368" s="65">
        <v>3950</v>
      </c>
      <c r="K368" s="65"/>
      <c r="L368" s="65"/>
      <c r="M368" s="65"/>
    </row>
    <row r="369" spans="2:14" x14ac:dyDescent="0.25">
      <c r="B369" s="72" t="s">
        <v>542</v>
      </c>
      <c r="C369" s="77" t="s">
        <v>543</v>
      </c>
      <c r="D369" s="77">
        <v>42.4</v>
      </c>
      <c r="E369" s="118">
        <v>250.16</v>
      </c>
      <c r="F369" s="26" t="s">
        <v>544</v>
      </c>
      <c r="G369" s="90" t="s">
        <v>204</v>
      </c>
      <c r="I369" s="65"/>
      <c r="J369" s="65"/>
      <c r="K369" s="65"/>
      <c r="L369" s="65" t="s">
        <v>119</v>
      </c>
      <c r="M369" s="65"/>
    </row>
    <row r="370" spans="2:14" x14ac:dyDescent="0.25">
      <c r="B370" s="117" t="s">
        <v>545</v>
      </c>
      <c r="C370" s="191" t="s">
        <v>546</v>
      </c>
      <c r="D370" s="117">
        <v>61.4</v>
      </c>
      <c r="E370" s="118">
        <v>362.26</v>
      </c>
      <c r="F370" s="119" t="s">
        <v>358</v>
      </c>
      <c r="G370" s="117" t="s">
        <v>541</v>
      </c>
      <c r="I370" s="65"/>
      <c r="J370" s="65"/>
      <c r="K370" s="65"/>
      <c r="L370" s="65" t="s">
        <v>73</v>
      </c>
      <c r="M370" s="65"/>
    </row>
    <row r="371" spans="2:14" x14ac:dyDescent="0.25">
      <c r="B371" s="116" t="s">
        <v>547</v>
      </c>
      <c r="C371" s="117" t="s">
        <v>548</v>
      </c>
      <c r="D371" s="117">
        <v>202.6</v>
      </c>
      <c r="E371" s="118">
        <v>1195.3399999999999</v>
      </c>
      <c r="F371" s="119" t="s">
        <v>255</v>
      </c>
      <c r="G371" s="117" t="s">
        <v>541</v>
      </c>
      <c r="I371" s="65"/>
      <c r="J371" s="65"/>
      <c r="K371" s="65"/>
      <c r="L371" s="65"/>
      <c r="M371" s="65"/>
    </row>
    <row r="372" spans="2:14" x14ac:dyDescent="0.25">
      <c r="B372" s="116"/>
      <c r="C372" s="117"/>
      <c r="D372" s="117"/>
      <c r="E372" s="118"/>
      <c r="F372" s="119"/>
      <c r="G372" s="117"/>
      <c r="K372" s="65"/>
      <c r="L372" s="65" t="s">
        <v>73</v>
      </c>
      <c r="M372" s="112"/>
    </row>
    <row r="373" spans="2:14" x14ac:dyDescent="0.25">
      <c r="B373" s="116"/>
      <c r="C373" s="117"/>
      <c r="D373" s="117"/>
      <c r="E373" s="118"/>
      <c r="F373" s="119"/>
      <c r="G373" s="117"/>
      <c r="K373" s="92" t="s">
        <v>99</v>
      </c>
      <c r="L373" s="92">
        <f>150+182+6.5+98+6.5+32</f>
        <v>475</v>
      </c>
      <c r="M373" s="92"/>
      <c r="N373" s="92">
        <f>L373*M373</f>
        <v>0</v>
      </c>
    </row>
    <row r="374" spans="2:14" x14ac:dyDescent="0.25">
      <c r="B374" s="116"/>
      <c r="C374" s="117"/>
      <c r="D374" s="117"/>
      <c r="E374" s="118"/>
      <c r="F374" s="119"/>
      <c r="G374" s="117"/>
      <c r="K374" s="92" t="s">
        <v>100</v>
      </c>
      <c r="L374" s="92">
        <f>97+39+40+59+39+143+143</f>
        <v>560</v>
      </c>
      <c r="M374" s="92"/>
      <c r="N374" s="92">
        <f>L374*M374</f>
        <v>0</v>
      </c>
    </row>
    <row r="375" spans="2:14" x14ac:dyDescent="0.25">
      <c r="B375" s="116"/>
      <c r="C375" s="117"/>
      <c r="D375" s="117"/>
      <c r="E375" s="118"/>
      <c r="F375" s="119"/>
      <c r="G375" s="117"/>
      <c r="K375" s="92" t="s">
        <v>161</v>
      </c>
      <c r="L375" s="92">
        <v>61</v>
      </c>
      <c r="M375" s="92"/>
      <c r="N375" s="92">
        <f>L375*M375</f>
        <v>0</v>
      </c>
    </row>
    <row r="376" spans="2:14" x14ac:dyDescent="0.25">
      <c r="B376" s="10"/>
      <c r="C376" s="40"/>
      <c r="D376" s="40"/>
      <c r="E376" s="118"/>
      <c r="F376" s="4"/>
      <c r="G376" s="40"/>
      <c r="K376" s="92"/>
      <c r="L376" s="92"/>
      <c r="M376" s="92"/>
      <c r="N376" s="111">
        <f>SUM(N373:N375)</f>
        <v>0</v>
      </c>
    </row>
    <row r="377" spans="2:14" x14ac:dyDescent="0.25">
      <c r="B377" s="10"/>
      <c r="C377" s="40"/>
      <c r="D377" s="40"/>
      <c r="E377" s="118"/>
      <c r="F377" s="4"/>
      <c r="G377" s="40"/>
    </row>
    <row r="378" spans="2:14" x14ac:dyDescent="0.25">
      <c r="B378" s="10"/>
      <c r="C378" s="40"/>
      <c r="D378" s="40"/>
      <c r="E378" s="118">
        <f t="shared" ref="E378:E381" si="23">D378*4*1.18</f>
        <v>0</v>
      </c>
      <c r="F378" s="4"/>
      <c r="G378" s="40"/>
    </row>
    <row r="379" spans="2:14" x14ac:dyDescent="0.25">
      <c r="B379" s="72"/>
      <c r="C379" s="77"/>
      <c r="D379" s="77"/>
      <c r="E379" s="118">
        <f t="shared" si="23"/>
        <v>0</v>
      </c>
      <c r="F379" s="26"/>
      <c r="G379" s="40"/>
    </row>
    <row r="380" spans="2:14" x14ac:dyDescent="0.25">
      <c r="B380" s="72"/>
      <c r="C380" s="77"/>
      <c r="D380" s="77"/>
      <c r="E380" s="118">
        <f t="shared" si="23"/>
        <v>0</v>
      </c>
      <c r="F380" s="26"/>
      <c r="G380" s="40"/>
    </row>
    <row r="381" spans="2:14" x14ac:dyDescent="0.25">
      <c r="B381" s="72"/>
      <c r="C381" s="77"/>
      <c r="D381" s="77"/>
      <c r="E381" s="118">
        <f t="shared" si="23"/>
        <v>0</v>
      </c>
      <c r="F381" s="26"/>
      <c r="G381" s="40"/>
    </row>
    <row r="382" spans="2:14" x14ac:dyDescent="0.25">
      <c r="B382" s="73"/>
      <c r="C382" s="78"/>
      <c r="D382" s="78"/>
      <c r="E382" s="87">
        <f>SUM(E362:E381)</f>
        <v>16721.11</v>
      </c>
      <c r="F382" s="59"/>
      <c r="G382" s="39"/>
    </row>
    <row r="383" spans="2:14" x14ac:dyDescent="0.25">
      <c r="B383" s="8"/>
      <c r="C383" s="39"/>
      <c r="D383" s="39"/>
      <c r="E383" s="50"/>
      <c r="F383" s="2"/>
      <c r="G383" s="39"/>
    </row>
    <row r="384" spans="2:14" x14ac:dyDescent="0.25">
      <c r="B384" s="270" t="s">
        <v>74</v>
      </c>
      <c r="C384" s="270"/>
      <c r="D384" s="137">
        <f>SUM(D362:D383)</f>
        <v>2855.5</v>
      </c>
      <c r="E384" s="50"/>
      <c r="F384" s="2"/>
      <c r="G384" s="39"/>
    </row>
    <row r="389" spans="2:20" ht="15.75" x14ac:dyDescent="0.25">
      <c r="B389" s="41"/>
      <c r="C389" s="42"/>
      <c r="D389" s="42"/>
      <c r="E389" s="43" t="s">
        <v>396</v>
      </c>
      <c r="F389" s="44"/>
      <c r="G389" s="45"/>
      <c r="H389" s="46"/>
      <c r="I389" s="47"/>
      <c r="J389" s="43" t="s">
        <v>396</v>
      </c>
      <c r="K389" s="47"/>
      <c r="L389" s="49"/>
      <c r="M389" s="49"/>
    </row>
    <row r="390" spans="2:20" x14ac:dyDescent="0.25">
      <c r="B390" s="8"/>
      <c r="C390" s="39"/>
      <c r="D390" s="39"/>
      <c r="E390" s="50"/>
      <c r="F390" s="2"/>
      <c r="G390" s="39"/>
    </row>
    <row r="391" spans="2:20" ht="15.75" x14ac:dyDescent="0.25">
      <c r="B391" s="51" t="s">
        <v>58</v>
      </c>
      <c r="C391" s="2"/>
      <c r="D391" s="52" t="s">
        <v>59</v>
      </c>
      <c r="E391" s="53">
        <f>E357</f>
        <v>25389.860000000004</v>
      </c>
      <c r="F391" s="2"/>
      <c r="G391" s="63" t="s">
        <v>60</v>
      </c>
      <c r="H391" s="63"/>
      <c r="I391" s="54"/>
      <c r="J391" s="55" t="s">
        <v>59</v>
      </c>
      <c r="K391" s="56">
        <f>K357</f>
        <v>22578</v>
      </c>
    </row>
    <row r="392" spans="2:20" x14ac:dyDescent="0.25">
      <c r="B392" s="57" t="s">
        <v>61</v>
      </c>
      <c r="C392" s="2">
        <v>10</v>
      </c>
      <c r="D392" s="52"/>
      <c r="E392" s="58"/>
      <c r="F392" s="2"/>
      <c r="G392" s="269" t="s">
        <v>61</v>
      </c>
      <c r="H392" s="269"/>
      <c r="I392" s="54"/>
      <c r="J392" s="55">
        <v>10</v>
      </c>
      <c r="K392" s="54"/>
    </row>
    <row r="393" spans="2:20" x14ac:dyDescent="0.25">
      <c r="B393" s="57" t="s">
        <v>62</v>
      </c>
      <c r="C393" s="2"/>
      <c r="D393" s="52" t="s">
        <v>59</v>
      </c>
      <c r="E393" s="58">
        <f>D423</f>
        <v>0</v>
      </c>
      <c r="F393" s="2"/>
      <c r="G393" s="269" t="s">
        <v>62</v>
      </c>
      <c r="H393" s="269"/>
      <c r="I393" s="54"/>
      <c r="J393" s="55" t="s">
        <v>59</v>
      </c>
      <c r="K393" s="54"/>
    </row>
    <row r="394" spans="2:20" ht="15.75" x14ac:dyDescent="0.25">
      <c r="B394" s="60" t="s">
        <v>63</v>
      </c>
      <c r="C394" s="39"/>
      <c r="D394" s="39"/>
      <c r="E394" s="61">
        <f>E391+E392-E393</f>
        <v>25389.860000000004</v>
      </c>
      <c r="F394" s="2"/>
      <c r="G394" s="62" t="s">
        <v>64</v>
      </c>
      <c r="H394" s="62"/>
      <c r="J394" s="54" t="s">
        <v>59</v>
      </c>
      <c r="K394" s="62"/>
    </row>
    <row r="396" spans="2:20" x14ac:dyDescent="0.25">
      <c r="Q396" s="66" t="s">
        <v>66</v>
      </c>
      <c r="R396" s="66" t="s">
        <v>93</v>
      </c>
      <c r="S396" s="66" t="s">
        <v>94</v>
      </c>
      <c r="T396" s="66" t="s">
        <v>70</v>
      </c>
    </row>
    <row r="397" spans="2:20" x14ac:dyDescent="0.25">
      <c r="K397" s="129" t="s">
        <v>169</v>
      </c>
      <c r="L397" s="197"/>
      <c r="Q397" s="65"/>
      <c r="R397" s="65"/>
      <c r="S397" s="65"/>
      <c r="T397" s="65"/>
    </row>
    <row r="398" spans="2:20" x14ac:dyDescent="0.25">
      <c r="B398" s="69" t="s">
        <v>14</v>
      </c>
      <c r="C398" s="74" t="s">
        <v>75</v>
      </c>
      <c r="D398" s="74" t="s">
        <v>71</v>
      </c>
      <c r="E398" s="81" t="s">
        <v>18</v>
      </c>
      <c r="F398" s="74" t="s">
        <v>16</v>
      </c>
      <c r="G398" s="89" t="s">
        <v>76</v>
      </c>
      <c r="I398" s="64" t="s">
        <v>65</v>
      </c>
      <c r="K398" s="66" t="s">
        <v>71</v>
      </c>
      <c r="L398" s="66" t="s">
        <v>72</v>
      </c>
      <c r="M398" s="66" t="s">
        <v>73</v>
      </c>
      <c r="Q398" s="65"/>
      <c r="R398" s="65"/>
      <c r="S398" s="65"/>
      <c r="T398" s="65"/>
    </row>
    <row r="399" spans="2:20" x14ac:dyDescent="0.25">
      <c r="B399" s="71"/>
      <c r="C399" s="76"/>
      <c r="D399" s="80"/>
      <c r="E399" s="83"/>
      <c r="F399" s="80"/>
      <c r="G399" s="201"/>
      <c r="H399" s="91"/>
      <c r="Q399" s="65"/>
      <c r="R399" s="65"/>
      <c r="S399" s="65"/>
      <c r="T399" s="65"/>
    </row>
    <row r="400" spans="2:20" x14ac:dyDescent="0.25">
      <c r="B400" s="71"/>
      <c r="C400" s="76"/>
      <c r="D400" s="80"/>
      <c r="E400" s="83"/>
      <c r="F400" s="80"/>
      <c r="G400" s="201"/>
      <c r="I400" s="65" t="s">
        <v>66</v>
      </c>
      <c r="J400" s="65" t="s">
        <v>59</v>
      </c>
      <c r="K400" s="67"/>
      <c r="L400" s="67">
        <v>6.2</v>
      </c>
      <c r="M400" s="65">
        <f>K400*L400</f>
        <v>0</v>
      </c>
      <c r="Q400" s="65"/>
      <c r="R400" s="65"/>
      <c r="S400" s="65"/>
      <c r="T400" s="65"/>
    </row>
    <row r="401" spans="2:23" x14ac:dyDescent="0.25">
      <c r="B401" s="72"/>
      <c r="C401" s="28"/>
      <c r="D401" s="26"/>
      <c r="E401" s="84"/>
      <c r="F401" s="26"/>
      <c r="G401" s="90"/>
      <c r="I401" s="65" t="s">
        <v>67</v>
      </c>
      <c r="J401" s="65" t="s">
        <v>59</v>
      </c>
      <c r="K401" s="67"/>
      <c r="L401" s="67">
        <v>7.2</v>
      </c>
      <c r="M401" s="65">
        <f t="shared" ref="M401:M402" si="24">K401*L401</f>
        <v>0</v>
      </c>
      <c r="Q401" s="98">
        <v>5605</v>
      </c>
      <c r="R401" s="98">
        <v>11880</v>
      </c>
      <c r="S401" s="98">
        <v>50050</v>
      </c>
      <c r="T401" s="98">
        <v>6000</v>
      </c>
      <c r="W401" s="98">
        <v>4900</v>
      </c>
    </row>
    <row r="402" spans="2:23" x14ac:dyDescent="0.25">
      <c r="B402" s="125"/>
      <c r="C402" s="76"/>
      <c r="D402" s="80"/>
      <c r="E402" s="83"/>
      <c r="F402" s="80"/>
      <c r="G402" s="90"/>
      <c r="I402" s="65" t="s">
        <v>68</v>
      </c>
      <c r="J402" s="65" t="s">
        <v>59</v>
      </c>
      <c r="K402" s="67"/>
      <c r="L402" s="67">
        <v>6</v>
      </c>
      <c r="M402" s="65">
        <f t="shared" si="24"/>
        <v>0</v>
      </c>
    </row>
    <row r="403" spans="2:23" x14ac:dyDescent="0.25">
      <c r="B403" s="72"/>
      <c r="C403" s="28"/>
      <c r="D403" s="26"/>
      <c r="E403" s="84"/>
      <c r="F403" s="26"/>
      <c r="G403" s="90"/>
      <c r="H403" s="91"/>
      <c r="I403" s="65" t="s">
        <v>69</v>
      </c>
      <c r="J403" s="65" t="s">
        <v>59</v>
      </c>
      <c r="K403" s="68"/>
      <c r="L403" s="68"/>
      <c r="M403" s="65"/>
    </row>
    <row r="404" spans="2:23" x14ac:dyDescent="0.25">
      <c r="B404" s="72"/>
      <c r="C404" s="28"/>
      <c r="D404" s="26"/>
      <c r="E404" s="84"/>
      <c r="F404" s="26"/>
      <c r="G404" s="90"/>
      <c r="H404" s="111"/>
      <c r="I404" s="65"/>
      <c r="J404" s="65"/>
      <c r="K404" s="68">
        <f>SUM(K400:K403)</f>
        <v>0</v>
      </c>
      <c r="L404" s="68"/>
      <c r="M404" s="65"/>
    </row>
    <row r="405" spans="2:23" x14ac:dyDescent="0.25">
      <c r="B405" s="72"/>
      <c r="C405" s="28"/>
      <c r="D405" s="26"/>
      <c r="E405" s="84"/>
      <c r="F405" s="26"/>
      <c r="G405" s="90"/>
      <c r="I405" s="65" t="s">
        <v>70</v>
      </c>
      <c r="J405" s="65">
        <v>6000</v>
      </c>
      <c r="K405" s="65"/>
      <c r="L405" s="65"/>
      <c r="M405" s="65"/>
    </row>
    <row r="406" spans="2:23" x14ac:dyDescent="0.25">
      <c r="B406" s="72"/>
      <c r="C406" s="191"/>
      <c r="D406" s="119"/>
      <c r="E406" s="83"/>
      <c r="F406" s="193"/>
      <c r="G406" s="194"/>
      <c r="I406" s="65"/>
      <c r="J406" s="65"/>
      <c r="K406" s="65"/>
      <c r="L406" s="65"/>
      <c r="M406" s="65"/>
    </row>
    <row r="407" spans="2:23" x14ac:dyDescent="0.25">
      <c r="B407" s="72"/>
      <c r="C407" s="117"/>
      <c r="D407" s="117"/>
      <c r="E407" s="83"/>
      <c r="F407" s="119"/>
      <c r="G407" s="195"/>
      <c r="H407" t="s">
        <v>160</v>
      </c>
      <c r="I407" s="65"/>
      <c r="J407" s="65"/>
      <c r="K407" s="65"/>
      <c r="L407" s="65"/>
      <c r="M407" s="65"/>
    </row>
    <row r="408" spans="2:23" x14ac:dyDescent="0.25">
      <c r="B408" s="72"/>
      <c r="C408" s="117"/>
      <c r="D408" s="117"/>
      <c r="E408" s="83"/>
      <c r="F408" s="119"/>
      <c r="G408" s="196"/>
      <c r="H408" t="s">
        <v>167</v>
      </c>
      <c r="I408" s="65"/>
      <c r="J408" s="65"/>
      <c r="K408" s="65"/>
      <c r="L408" s="65"/>
      <c r="M408" s="65"/>
    </row>
    <row r="409" spans="2:23" x14ac:dyDescent="0.25">
      <c r="B409" s="72"/>
      <c r="C409" s="117"/>
      <c r="D409" s="117"/>
      <c r="E409" s="83"/>
      <c r="F409" s="119"/>
      <c r="G409" s="202"/>
      <c r="M409" s="106"/>
    </row>
    <row r="410" spans="2:23" x14ac:dyDescent="0.25">
      <c r="B410" s="116"/>
      <c r="C410" s="117"/>
      <c r="D410" s="117"/>
      <c r="E410" s="83"/>
      <c r="F410" s="119"/>
      <c r="G410" s="195"/>
      <c r="H410" t="s">
        <v>168</v>
      </c>
      <c r="K410" s="92" t="s">
        <v>99</v>
      </c>
      <c r="L410" s="92"/>
      <c r="M410" s="92"/>
      <c r="N410" s="92"/>
    </row>
    <row r="411" spans="2:23" x14ac:dyDescent="0.25">
      <c r="B411" s="116"/>
      <c r="C411" s="117"/>
      <c r="D411" s="117"/>
      <c r="E411" s="83"/>
      <c r="F411" s="199"/>
      <c r="G411" s="107"/>
      <c r="K411" s="92" t="s">
        <v>100</v>
      </c>
      <c r="L411" s="92"/>
      <c r="M411" s="92"/>
      <c r="N411" s="92"/>
    </row>
    <row r="412" spans="2:23" x14ac:dyDescent="0.25">
      <c r="B412" s="116"/>
      <c r="C412" s="117"/>
      <c r="D412" s="117"/>
      <c r="E412" s="83"/>
      <c r="F412" s="119"/>
      <c r="G412" s="198"/>
      <c r="K412" s="92" t="s">
        <v>145</v>
      </c>
      <c r="L412" s="92"/>
      <c r="M412" s="92"/>
      <c r="N412" s="92"/>
    </row>
    <row r="413" spans="2:23" x14ac:dyDescent="0.25">
      <c r="B413" s="116"/>
      <c r="C413" s="117"/>
      <c r="D413" s="117"/>
      <c r="E413" s="83"/>
      <c r="F413" s="119"/>
      <c r="G413" s="203"/>
    </row>
    <row r="414" spans="2:23" x14ac:dyDescent="0.25">
      <c r="B414" s="116"/>
      <c r="C414" s="117"/>
      <c r="D414" s="117"/>
      <c r="E414" s="83"/>
      <c r="F414" s="199"/>
      <c r="G414" s="107"/>
    </row>
    <row r="415" spans="2:23" x14ac:dyDescent="0.25">
      <c r="B415" s="116"/>
      <c r="C415" s="117"/>
      <c r="D415" s="117"/>
      <c r="E415" s="83"/>
      <c r="F415" s="119"/>
      <c r="G415" s="202"/>
    </row>
    <row r="416" spans="2:23" x14ac:dyDescent="0.25">
      <c r="B416" s="116"/>
      <c r="C416" s="77"/>
      <c r="D416" s="77"/>
      <c r="E416" s="83"/>
      <c r="F416" s="26"/>
      <c r="G416" s="202"/>
    </row>
    <row r="417" spans="2:13" x14ac:dyDescent="0.25">
      <c r="B417" s="72"/>
      <c r="C417" s="77"/>
      <c r="D417" s="77"/>
      <c r="E417" s="83"/>
      <c r="F417" s="26"/>
      <c r="G417" s="202"/>
    </row>
    <row r="418" spans="2:13" x14ac:dyDescent="0.25">
      <c r="B418" s="72"/>
      <c r="C418" s="77"/>
      <c r="D418" s="77"/>
      <c r="E418" s="83"/>
      <c r="F418" s="26"/>
      <c r="G418" s="202"/>
    </row>
    <row r="419" spans="2:13" x14ac:dyDescent="0.25">
      <c r="B419" s="72"/>
      <c r="C419" s="77"/>
      <c r="D419" s="77"/>
      <c r="E419" s="83"/>
      <c r="F419" s="26"/>
      <c r="G419" s="202"/>
    </row>
    <row r="420" spans="2:13" x14ac:dyDescent="0.25">
      <c r="B420" s="72"/>
      <c r="C420" s="77"/>
      <c r="D420" s="77"/>
      <c r="E420" s="83"/>
      <c r="F420" s="26"/>
      <c r="G420" s="202"/>
    </row>
    <row r="421" spans="2:13" x14ac:dyDescent="0.25">
      <c r="B421" s="73"/>
      <c r="C421" s="78"/>
      <c r="D421" s="78"/>
      <c r="E421" s="87">
        <f>SUM(E399:E420)</f>
        <v>0</v>
      </c>
      <c r="F421" s="59"/>
      <c r="G421" s="39"/>
    </row>
    <row r="422" spans="2:13" x14ac:dyDescent="0.25">
      <c r="B422" s="8"/>
      <c r="C422" s="39"/>
      <c r="D422" s="39"/>
      <c r="E422" s="50"/>
      <c r="F422" s="2"/>
      <c r="G422" s="39"/>
    </row>
    <row r="423" spans="2:13" x14ac:dyDescent="0.25">
      <c r="B423" s="270" t="s">
        <v>74</v>
      </c>
      <c r="C423" s="270"/>
      <c r="D423" s="137">
        <f>SUM(D399:D422)</f>
        <v>0</v>
      </c>
      <c r="E423" s="138"/>
      <c r="F423" s="2"/>
      <c r="G423" s="39"/>
    </row>
    <row r="428" spans="2:13" ht="15.75" x14ac:dyDescent="0.25">
      <c r="B428" s="41"/>
      <c r="C428" s="42"/>
      <c r="D428" s="42"/>
      <c r="E428" s="43" t="s">
        <v>397</v>
      </c>
      <c r="F428" s="44"/>
      <c r="G428" s="45"/>
      <c r="H428" s="46"/>
      <c r="I428" s="47"/>
      <c r="J428" s="43" t="s">
        <v>397</v>
      </c>
      <c r="K428" s="47"/>
      <c r="L428" s="49"/>
      <c r="M428" s="49"/>
    </row>
    <row r="429" spans="2:13" x14ac:dyDescent="0.25">
      <c r="B429" s="8"/>
      <c r="C429" s="39"/>
      <c r="D429" s="39"/>
      <c r="E429" s="50"/>
      <c r="F429" s="2"/>
      <c r="G429" s="39"/>
    </row>
    <row r="430" spans="2:13" ht="15.75" x14ac:dyDescent="0.25">
      <c r="B430" s="51" t="s">
        <v>58</v>
      </c>
      <c r="C430" s="2"/>
      <c r="D430" s="52" t="s">
        <v>59</v>
      </c>
      <c r="E430" s="53">
        <f>E394</f>
        <v>25389.860000000004</v>
      </c>
      <c r="F430" s="2"/>
      <c r="G430" s="63" t="s">
        <v>60</v>
      </c>
      <c r="H430" s="63"/>
      <c r="I430" s="54"/>
      <c r="J430" s="55" t="s">
        <v>59</v>
      </c>
      <c r="K430" s="56">
        <v>24788</v>
      </c>
    </row>
    <row r="431" spans="2:13" x14ac:dyDescent="0.25">
      <c r="B431" s="57" t="s">
        <v>61</v>
      </c>
      <c r="C431" s="2">
        <v>11</v>
      </c>
      <c r="D431" s="52"/>
      <c r="E431" s="58"/>
      <c r="F431" s="2"/>
      <c r="G431" s="269" t="s">
        <v>61</v>
      </c>
      <c r="H431" s="269"/>
      <c r="I431" s="54">
        <v>11</v>
      </c>
      <c r="J431" s="55" t="s">
        <v>59</v>
      </c>
      <c r="K431" s="54"/>
    </row>
    <row r="432" spans="2:13" x14ac:dyDescent="0.25">
      <c r="B432" s="57" t="s">
        <v>62</v>
      </c>
      <c r="C432" s="2"/>
      <c r="D432" s="52"/>
      <c r="E432" s="58"/>
      <c r="F432" s="2"/>
      <c r="G432" s="269" t="s">
        <v>62</v>
      </c>
      <c r="H432" s="269"/>
      <c r="I432" s="54"/>
      <c r="J432" s="55" t="s">
        <v>59</v>
      </c>
      <c r="K432" s="54"/>
    </row>
    <row r="433" spans="2:23" ht="15.75" x14ac:dyDescent="0.25">
      <c r="B433" s="60" t="s">
        <v>63</v>
      </c>
      <c r="C433" s="39"/>
      <c r="D433" s="39"/>
      <c r="E433" s="61">
        <f>E430+E431-E432</f>
        <v>25389.860000000004</v>
      </c>
      <c r="F433" s="2"/>
      <c r="G433" s="62" t="s">
        <v>64</v>
      </c>
      <c r="H433" s="62"/>
      <c r="J433" s="54" t="s">
        <v>59</v>
      </c>
      <c r="K433" s="62">
        <f>K430+K431-K432</f>
        <v>24788</v>
      </c>
    </row>
    <row r="436" spans="2:23" x14ac:dyDescent="0.25">
      <c r="K436" t="s">
        <v>170</v>
      </c>
    </row>
    <row r="437" spans="2:23" x14ac:dyDescent="0.25">
      <c r="B437" s="69" t="s">
        <v>14</v>
      </c>
      <c r="C437" s="74" t="s">
        <v>75</v>
      </c>
      <c r="D437" s="74" t="s">
        <v>71</v>
      </c>
      <c r="E437" s="81" t="s">
        <v>18</v>
      </c>
      <c r="F437" s="74" t="s">
        <v>16</v>
      </c>
      <c r="G437" s="89" t="s">
        <v>76</v>
      </c>
      <c r="I437" s="64" t="s">
        <v>65</v>
      </c>
      <c r="K437" s="66" t="s">
        <v>71</v>
      </c>
      <c r="L437" s="66" t="s">
        <v>72</v>
      </c>
      <c r="M437" s="66" t="s">
        <v>73</v>
      </c>
    </row>
    <row r="438" spans="2:23" x14ac:dyDescent="0.25">
      <c r="B438" s="70"/>
      <c r="C438" s="75"/>
      <c r="D438" s="79"/>
      <c r="E438" s="82"/>
      <c r="F438" s="79"/>
      <c r="G438" s="109"/>
      <c r="H438" s="91"/>
      <c r="Q438" s="66" t="s">
        <v>66</v>
      </c>
      <c r="R438" s="66" t="s">
        <v>93</v>
      </c>
      <c r="S438" s="66" t="s">
        <v>94</v>
      </c>
      <c r="T438" s="66" t="s">
        <v>70</v>
      </c>
    </row>
    <row r="439" spans="2:23" x14ac:dyDescent="0.25">
      <c r="B439" s="71"/>
      <c r="C439" s="76"/>
      <c r="D439" s="80"/>
      <c r="E439" s="82"/>
      <c r="F439" s="88"/>
      <c r="G439" s="90"/>
      <c r="I439" s="65" t="s">
        <v>66</v>
      </c>
      <c r="J439" s="65" t="s">
        <v>59</v>
      </c>
      <c r="K439" s="67"/>
      <c r="L439" s="67">
        <v>6.2</v>
      </c>
      <c r="M439" s="65">
        <f>K439*L439</f>
        <v>0</v>
      </c>
      <c r="Q439" s="65"/>
      <c r="R439" s="65"/>
      <c r="S439" s="65"/>
      <c r="T439" s="65"/>
    </row>
    <row r="440" spans="2:23" x14ac:dyDescent="0.25">
      <c r="B440" s="72"/>
      <c r="C440" s="28"/>
      <c r="D440" s="26"/>
      <c r="E440" s="82"/>
      <c r="F440" s="26"/>
      <c r="G440" s="90"/>
      <c r="I440" s="65" t="s">
        <v>67</v>
      </c>
      <c r="J440" s="65" t="s">
        <v>59</v>
      </c>
      <c r="K440" s="67"/>
      <c r="L440" s="67">
        <v>7.3</v>
      </c>
      <c r="M440" s="65">
        <f t="shared" ref="M440:M441" si="25">K440*L440</f>
        <v>0</v>
      </c>
      <c r="Q440" s="65"/>
      <c r="R440" s="65"/>
      <c r="S440" s="65"/>
      <c r="T440" s="65"/>
    </row>
    <row r="441" spans="2:23" x14ac:dyDescent="0.25">
      <c r="B441" s="72"/>
      <c r="C441" s="28"/>
      <c r="D441" s="26"/>
      <c r="E441" s="82"/>
      <c r="F441" s="26"/>
      <c r="G441" s="134"/>
      <c r="H441" s="111">
        <v>-4000</v>
      </c>
      <c r="I441" s="65" t="s">
        <v>68</v>
      </c>
      <c r="J441" s="65" t="s">
        <v>59</v>
      </c>
      <c r="K441" s="67"/>
      <c r="L441" s="67">
        <v>6</v>
      </c>
      <c r="M441" s="65">
        <f t="shared" si="25"/>
        <v>0</v>
      </c>
      <c r="Q441" s="65"/>
      <c r="R441" s="65"/>
      <c r="S441" s="65"/>
      <c r="T441" s="65"/>
    </row>
    <row r="442" spans="2:23" x14ac:dyDescent="0.25">
      <c r="B442" s="72"/>
      <c r="C442" s="28"/>
      <c r="D442" s="26"/>
      <c r="E442" s="82"/>
      <c r="F442" s="26"/>
      <c r="G442" s="90"/>
      <c r="H442" s="91"/>
      <c r="I442" s="65" t="s">
        <v>69</v>
      </c>
      <c r="J442" s="65" t="s">
        <v>59</v>
      </c>
      <c r="K442" s="68"/>
      <c r="L442" s="68"/>
      <c r="M442" s="65"/>
      <c r="Q442" s="65"/>
      <c r="R442" s="65"/>
      <c r="S442" s="65"/>
      <c r="T442" s="65"/>
    </row>
    <row r="443" spans="2:23" x14ac:dyDescent="0.25">
      <c r="B443" s="72"/>
      <c r="C443" s="28"/>
      <c r="D443" s="26"/>
      <c r="E443" s="82"/>
      <c r="F443" s="26"/>
      <c r="G443" s="90"/>
      <c r="I443" s="65"/>
      <c r="J443" s="65"/>
      <c r="K443" s="68">
        <f>SUM(K439:K442)</f>
        <v>0</v>
      </c>
      <c r="L443" s="68"/>
      <c r="M443" s="65"/>
      <c r="Q443" s="98">
        <v>4910</v>
      </c>
      <c r="R443" s="98">
        <v>12850</v>
      </c>
      <c r="S443" s="98">
        <v>43507</v>
      </c>
      <c r="T443" s="98">
        <v>5200</v>
      </c>
      <c r="W443" s="98">
        <v>4500</v>
      </c>
    </row>
    <row r="444" spans="2:23" x14ac:dyDescent="0.25">
      <c r="B444" s="72"/>
      <c r="C444" s="77"/>
      <c r="D444" s="77"/>
      <c r="E444" s="82"/>
      <c r="F444" s="26"/>
      <c r="G444" s="77"/>
      <c r="I444" s="65" t="s">
        <v>70</v>
      </c>
      <c r="J444" s="65"/>
      <c r="K444" s="65"/>
      <c r="L444" s="65"/>
      <c r="M444" s="65"/>
    </row>
    <row r="445" spans="2:23" x14ac:dyDescent="0.25">
      <c r="B445" s="116"/>
      <c r="C445" s="117"/>
      <c r="D445" s="117"/>
      <c r="E445" s="82"/>
      <c r="F445" s="119"/>
      <c r="G445" s="77"/>
      <c r="I445" s="65"/>
      <c r="J445" s="65"/>
      <c r="K445" s="65"/>
      <c r="L445" s="65"/>
      <c r="M445" s="65"/>
    </row>
    <row r="446" spans="2:23" x14ac:dyDescent="0.25">
      <c r="B446" s="116"/>
      <c r="C446" s="117"/>
      <c r="D446" s="117"/>
      <c r="E446" s="82"/>
      <c r="F446" s="119"/>
      <c r="G446" s="77"/>
      <c r="I446" s="65"/>
      <c r="J446" s="65"/>
      <c r="K446" s="65"/>
      <c r="L446" s="65"/>
      <c r="M446" s="65"/>
    </row>
    <row r="447" spans="2:23" x14ac:dyDescent="0.25">
      <c r="B447" s="116"/>
      <c r="C447" s="117"/>
      <c r="D447" s="117"/>
      <c r="E447" s="82"/>
      <c r="F447" s="119"/>
      <c r="G447" s="117"/>
      <c r="I447" s="65"/>
      <c r="J447" s="65"/>
      <c r="K447" s="65"/>
      <c r="L447" s="65"/>
      <c r="M447" s="98"/>
    </row>
    <row r="448" spans="2:23" x14ac:dyDescent="0.25">
      <c r="B448" s="116"/>
      <c r="C448" s="117"/>
      <c r="D448" s="117"/>
      <c r="E448" s="82"/>
      <c r="F448" s="80"/>
      <c r="G448" s="117"/>
      <c r="H448" t="s">
        <v>171</v>
      </c>
    </row>
    <row r="449" spans="2:14" x14ac:dyDescent="0.25">
      <c r="B449" s="116"/>
      <c r="C449" s="117"/>
      <c r="D449" s="117"/>
      <c r="E449" s="82"/>
      <c r="F449" s="119"/>
      <c r="G449" s="117"/>
      <c r="K449" s="92" t="s">
        <v>99</v>
      </c>
      <c r="L449" s="92"/>
      <c r="M449" s="92"/>
      <c r="N449" s="92">
        <f>L449*M449</f>
        <v>0</v>
      </c>
    </row>
    <row r="450" spans="2:14" x14ac:dyDescent="0.25">
      <c r="B450" s="116"/>
      <c r="C450" s="117"/>
      <c r="D450" s="117"/>
      <c r="E450" s="82"/>
      <c r="F450" s="88"/>
      <c r="G450" s="117"/>
      <c r="K450" s="92" t="s">
        <v>100</v>
      </c>
      <c r="L450" s="92"/>
      <c r="M450" s="92"/>
      <c r="N450" s="92">
        <f>L450*M450</f>
        <v>0</v>
      </c>
    </row>
    <row r="451" spans="2:14" x14ac:dyDescent="0.25">
      <c r="B451" s="116"/>
      <c r="C451" s="117"/>
      <c r="D451" s="117"/>
      <c r="E451" s="82"/>
      <c r="F451" s="119"/>
      <c r="G451" s="117"/>
      <c r="K451" s="92"/>
      <c r="L451" s="92"/>
      <c r="M451" s="92"/>
      <c r="N451" s="92"/>
    </row>
    <row r="452" spans="2:14" x14ac:dyDescent="0.25">
      <c r="B452" s="116"/>
      <c r="C452" s="117"/>
      <c r="D452" s="117"/>
      <c r="E452" s="82"/>
      <c r="F452" s="119"/>
      <c r="G452" s="117"/>
      <c r="N452">
        <f>SUM(N449:N451)</f>
        <v>0</v>
      </c>
    </row>
    <row r="453" spans="2:14" x14ac:dyDescent="0.25">
      <c r="B453" s="116"/>
      <c r="C453" s="117"/>
      <c r="D453" s="117"/>
      <c r="E453" s="82"/>
      <c r="F453" s="119"/>
      <c r="G453" s="117"/>
    </row>
    <row r="454" spans="2:14" x14ac:dyDescent="0.25">
      <c r="B454" s="10"/>
      <c r="C454" s="40"/>
      <c r="D454" s="40"/>
      <c r="E454" s="82"/>
      <c r="F454" s="4"/>
      <c r="G454" s="40"/>
    </row>
    <row r="455" spans="2:14" x14ac:dyDescent="0.25">
      <c r="B455" s="72"/>
      <c r="C455" s="77"/>
      <c r="D455" s="77"/>
      <c r="E455" s="82"/>
      <c r="F455" s="26"/>
      <c r="G455" s="107"/>
    </row>
    <row r="456" spans="2:14" x14ac:dyDescent="0.25">
      <c r="B456" s="72"/>
      <c r="C456" s="77"/>
      <c r="D456" s="77"/>
      <c r="E456" s="82"/>
      <c r="F456" s="26"/>
      <c r="G456" s="40"/>
    </row>
    <row r="457" spans="2:14" x14ac:dyDescent="0.25">
      <c r="B457" s="72"/>
      <c r="C457" s="77"/>
      <c r="D457" s="77"/>
      <c r="E457" s="82"/>
      <c r="F457" s="26"/>
      <c r="G457" s="40"/>
    </row>
    <row r="458" spans="2:14" x14ac:dyDescent="0.25">
      <c r="B458" s="73"/>
      <c r="C458" s="78"/>
      <c r="D458" s="78"/>
      <c r="E458" s="87"/>
      <c r="F458" s="59"/>
      <c r="G458" s="39"/>
    </row>
    <row r="459" spans="2:14" x14ac:dyDescent="0.25">
      <c r="B459" s="8"/>
      <c r="C459" s="39"/>
      <c r="D459" s="39"/>
      <c r="E459" s="50"/>
      <c r="F459" s="2"/>
      <c r="G459" s="39"/>
    </row>
    <row r="460" spans="2:14" x14ac:dyDescent="0.25">
      <c r="B460" s="270" t="s">
        <v>74</v>
      </c>
      <c r="C460" s="270"/>
      <c r="D460" s="137">
        <f>SUM(D438:D459)</f>
        <v>0</v>
      </c>
      <c r="E460" s="50"/>
      <c r="F460" s="2"/>
      <c r="G460" s="39"/>
    </row>
    <row r="464" spans="2:14" ht="15.75" x14ac:dyDescent="0.25">
      <c r="B464" s="41"/>
      <c r="C464" s="42"/>
      <c r="D464" s="42"/>
      <c r="E464" s="43" t="s">
        <v>398</v>
      </c>
      <c r="F464" s="44"/>
      <c r="G464" s="45"/>
      <c r="H464" s="46"/>
      <c r="I464" s="47"/>
      <c r="J464" s="43" t="s">
        <v>398</v>
      </c>
      <c r="K464" s="47"/>
      <c r="L464" s="49"/>
      <c r="M464" s="49"/>
    </row>
    <row r="465" spans="2:20" x14ac:dyDescent="0.25">
      <c r="B465" s="8"/>
      <c r="C465" s="39"/>
      <c r="D465" s="39"/>
      <c r="E465" s="50"/>
      <c r="F465" s="2"/>
      <c r="G465" s="39"/>
    </row>
    <row r="466" spans="2:20" ht="15.75" x14ac:dyDescent="0.25">
      <c r="B466" s="51" t="s">
        <v>58</v>
      </c>
      <c r="C466" s="2"/>
      <c r="D466" s="52" t="s">
        <v>59</v>
      </c>
      <c r="E466" s="53">
        <f>E433</f>
        <v>25389.860000000004</v>
      </c>
      <c r="F466" s="2"/>
      <c r="G466" s="63" t="s">
        <v>60</v>
      </c>
      <c r="H466" s="63"/>
      <c r="I466" s="54"/>
      <c r="J466" s="55" t="s">
        <v>59</v>
      </c>
      <c r="K466" s="56">
        <f>K433</f>
        <v>24788</v>
      </c>
    </row>
    <row r="467" spans="2:20" x14ac:dyDescent="0.25">
      <c r="B467" s="57" t="s">
        <v>61</v>
      </c>
      <c r="C467" s="2"/>
      <c r="D467" s="52">
        <v>12</v>
      </c>
      <c r="E467" s="58"/>
      <c r="F467" s="2"/>
      <c r="G467" s="269" t="s">
        <v>61</v>
      </c>
      <c r="H467" s="269"/>
      <c r="I467" s="54"/>
      <c r="J467" s="55">
        <v>12</v>
      </c>
      <c r="K467" s="54"/>
    </row>
    <row r="468" spans="2:20" x14ac:dyDescent="0.25">
      <c r="B468" s="57" t="s">
        <v>62</v>
      </c>
      <c r="C468" s="2"/>
      <c r="D468" s="52" t="s">
        <v>59</v>
      </c>
      <c r="E468" s="58">
        <f>D494</f>
        <v>0</v>
      </c>
      <c r="F468" s="2"/>
      <c r="G468" s="269" t="s">
        <v>62</v>
      </c>
      <c r="H468" s="269"/>
      <c r="I468" s="54"/>
      <c r="J468" s="55" t="s">
        <v>59</v>
      </c>
      <c r="K468" s="54">
        <f>K479</f>
        <v>0</v>
      </c>
    </row>
    <row r="469" spans="2:20" ht="15.75" x14ac:dyDescent="0.25">
      <c r="B469" s="60" t="s">
        <v>63</v>
      </c>
      <c r="C469" s="39"/>
      <c r="D469" s="39"/>
      <c r="E469" s="61">
        <f>E466+E467-E468</f>
        <v>25389.860000000004</v>
      </c>
      <c r="F469" s="2"/>
      <c r="G469" s="62" t="s">
        <v>64</v>
      </c>
      <c r="H469" s="62"/>
      <c r="J469" s="54" t="s">
        <v>59</v>
      </c>
      <c r="K469" s="62">
        <f>K466+K467-K468</f>
        <v>24788</v>
      </c>
    </row>
    <row r="472" spans="2:20" x14ac:dyDescent="0.25">
      <c r="J472" s="129"/>
      <c r="K472" s="129"/>
    </row>
    <row r="473" spans="2:20" x14ac:dyDescent="0.25">
      <c r="B473" s="69" t="s">
        <v>14</v>
      </c>
      <c r="C473" s="74" t="s">
        <v>75</v>
      </c>
      <c r="D473" s="74" t="s">
        <v>71</v>
      </c>
      <c r="E473" s="81" t="s">
        <v>18</v>
      </c>
      <c r="F473" s="74" t="s">
        <v>16</v>
      </c>
      <c r="G473" s="89" t="s">
        <v>76</v>
      </c>
      <c r="I473" s="64" t="s">
        <v>65</v>
      </c>
      <c r="K473" s="66" t="s">
        <v>71</v>
      </c>
      <c r="L473" s="66" t="s">
        <v>72</v>
      </c>
      <c r="M473" s="66" t="s">
        <v>73</v>
      </c>
    </row>
    <row r="474" spans="2:20" x14ac:dyDescent="0.25">
      <c r="B474" s="117"/>
      <c r="C474" s="191"/>
      <c r="D474" s="117"/>
      <c r="E474" s="84"/>
      <c r="F474" s="119"/>
      <c r="G474" s="195"/>
      <c r="H474" s="91"/>
    </row>
    <row r="475" spans="2:20" x14ac:dyDescent="0.25">
      <c r="B475" s="117"/>
      <c r="C475" s="191"/>
      <c r="D475" s="117"/>
      <c r="E475" s="84"/>
      <c r="F475" s="26"/>
      <c r="G475" s="90"/>
      <c r="I475" s="65" t="s">
        <v>66</v>
      </c>
      <c r="J475" s="65" t="s">
        <v>59</v>
      </c>
      <c r="K475" s="67"/>
      <c r="L475" s="67">
        <v>6.2</v>
      </c>
      <c r="M475" s="65">
        <f>K475*L475</f>
        <v>0</v>
      </c>
    </row>
    <row r="476" spans="2:20" x14ac:dyDescent="0.25">
      <c r="B476" s="117"/>
      <c r="C476" s="191"/>
      <c r="D476" s="26"/>
      <c r="E476" s="84"/>
      <c r="F476" s="119"/>
      <c r="G476" s="90"/>
      <c r="I476" s="65" t="s">
        <v>67</v>
      </c>
      <c r="J476" s="65" t="s">
        <v>59</v>
      </c>
      <c r="K476" s="67"/>
      <c r="L476" s="67">
        <v>7.2</v>
      </c>
      <c r="M476" s="65">
        <f t="shared" ref="M476:M477" si="26">K476*L476</f>
        <v>0</v>
      </c>
      <c r="R476" s="129"/>
    </row>
    <row r="477" spans="2:20" x14ac:dyDescent="0.25">
      <c r="B477" s="117"/>
      <c r="C477" s="191"/>
      <c r="D477" s="26"/>
      <c r="E477" s="84"/>
      <c r="F477" s="119"/>
      <c r="G477" s="109"/>
      <c r="I477" s="65" t="s">
        <v>68</v>
      </c>
      <c r="J477" s="65" t="s">
        <v>59</v>
      </c>
      <c r="K477" s="67"/>
      <c r="L477" s="67">
        <v>6</v>
      </c>
      <c r="M477" s="65">
        <f t="shared" si="26"/>
        <v>0</v>
      </c>
      <c r="Q477" s="66" t="s">
        <v>66</v>
      </c>
      <c r="R477" s="66" t="s">
        <v>93</v>
      </c>
      <c r="S477" s="66" t="s">
        <v>94</v>
      </c>
      <c r="T477" s="66" t="s">
        <v>70</v>
      </c>
    </row>
    <row r="478" spans="2:20" x14ac:dyDescent="0.25">
      <c r="B478" s="117"/>
      <c r="C478" s="191"/>
      <c r="D478" s="26"/>
      <c r="E478" s="84"/>
      <c r="F478" s="119"/>
      <c r="G478" s="90"/>
      <c r="H478" s="91"/>
      <c r="I478" s="65" t="s">
        <v>69</v>
      </c>
      <c r="J478" s="65" t="s">
        <v>59</v>
      </c>
      <c r="K478" s="68"/>
      <c r="L478" s="68"/>
      <c r="M478" s="65"/>
      <c r="Q478" s="65"/>
      <c r="R478" s="65"/>
      <c r="S478" s="65"/>
      <c r="T478" s="65"/>
    </row>
    <row r="479" spans="2:20" x14ac:dyDescent="0.25">
      <c r="B479" s="117"/>
      <c r="C479" s="191"/>
      <c r="D479" s="26"/>
      <c r="E479" s="84"/>
      <c r="F479" s="119"/>
      <c r="G479" s="90"/>
      <c r="I479" s="65"/>
      <c r="J479" s="65"/>
      <c r="K479" s="68"/>
      <c r="L479" s="68"/>
      <c r="M479" s="65"/>
      <c r="Q479" s="65"/>
      <c r="R479" s="65"/>
      <c r="S479" s="65"/>
      <c r="T479" s="65"/>
    </row>
    <row r="480" spans="2:20" x14ac:dyDescent="0.25">
      <c r="B480" s="117"/>
      <c r="C480" s="191"/>
      <c r="D480" s="77"/>
      <c r="E480" s="84"/>
      <c r="F480" s="119"/>
      <c r="G480" s="77"/>
      <c r="I480" s="65" t="s">
        <v>70</v>
      </c>
      <c r="J480" s="65"/>
      <c r="K480" s="65"/>
      <c r="L480" s="65"/>
      <c r="M480" s="65"/>
      <c r="Q480" s="65"/>
      <c r="R480" s="65"/>
      <c r="S480" s="65"/>
      <c r="T480" s="65"/>
    </row>
    <row r="481" spans="2:23" x14ac:dyDescent="0.25">
      <c r="B481" s="117"/>
      <c r="C481" s="191"/>
      <c r="D481" s="117"/>
      <c r="E481" s="84"/>
      <c r="F481" s="119"/>
      <c r="G481" s="117"/>
      <c r="I481" s="65"/>
      <c r="J481" s="65"/>
      <c r="K481" s="65"/>
      <c r="L481" s="65"/>
      <c r="M481" s="65">
        <f>SUM(M475:M480)</f>
        <v>0</v>
      </c>
      <c r="Q481" s="65"/>
      <c r="R481" s="65"/>
      <c r="S481" s="65"/>
      <c r="T481" s="65"/>
    </row>
    <row r="482" spans="2:23" x14ac:dyDescent="0.25">
      <c r="B482" s="117"/>
      <c r="C482" s="191"/>
      <c r="D482" s="117"/>
      <c r="E482" s="84"/>
      <c r="F482" s="119"/>
      <c r="G482" s="117"/>
      <c r="I482" s="65"/>
      <c r="J482" s="65"/>
      <c r="K482" s="65"/>
      <c r="L482" s="65"/>
      <c r="M482" s="65"/>
      <c r="Q482" s="98"/>
      <c r="R482" s="98"/>
      <c r="S482" s="98"/>
      <c r="T482" s="98"/>
      <c r="W482" s="98">
        <v>3200</v>
      </c>
    </row>
    <row r="483" spans="2:23" x14ac:dyDescent="0.25">
      <c r="B483" s="117"/>
      <c r="C483" s="191"/>
      <c r="D483" s="117"/>
      <c r="E483" s="84"/>
      <c r="F483" s="26"/>
      <c r="G483" s="90"/>
      <c r="H483" t="s">
        <v>168</v>
      </c>
      <c r="I483" s="65"/>
      <c r="J483" s="65"/>
      <c r="K483" s="65"/>
      <c r="L483" s="65"/>
      <c r="M483" s="65"/>
    </row>
    <row r="484" spans="2:23" x14ac:dyDescent="0.25">
      <c r="B484" s="117"/>
      <c r="C484" s="191"/>
      <c r="D484" s="117"/>
      <c r="E484" s="84"/>
      <c r="F484" s="119"/>
      <c r="G484" s="117"/>
    </row>
    <row r="485" spans="2:23" x14ac:dyDescent="0.25">
      <c r="B485" s="116"/>
      <c r="C485" s="117"/>
      <c r="D485" s="117"/>
      <c r="E485" s="118"/>
      <c r="F485" s="119"/>
      <c r="G485" s="107"/>
    </row>
    <row r="486" spans="2:23" x14ac:dyDescent="0.25">
      <c r="B486" s="116"/>
      <c r="C486" s="117"/>
      <c r="D486" s="117"/>
      <c r="E486" s="118"/>
      <c r="F486" s="119"/>
      <c r="G486" s="117"/>
    </row>
    <row r="487" spans="2:23" x14ac:dyDescent="0.25">
      <c r="B487" s="116"/>
      <c r="C487" s="117"/>
      <c r="D487" s="117"/>
      <c r="E487" s="118"/>
      <c r="F487" s="119"/>
      <c r="G487" s="117"/>
      <c r="K487" s="92" t="s">
        <v>99</v>
      </c>
      <c r="L487" s="92"/>
      <c r="M487" s="92">
        <v>5.6</v>
      </c>
      <c r="N487" s="92">
        <f>L487*M487</f>
        <v>0</v>
      </c>
    </row>
    <row r="488" spans="2:23" x14ac:dyDescent="0.25">
      <c r="B488" s="10"/>
      <c r="C488" s="40"/>
      <c r="D488" s="40"/>
      <c r="E488" s="86"/>
      <c r="F488" s="4"/>
      <c r="G488" s="107"/>
      <c r="K488" s="92" t="s">
        <v>100</v>
      </c>
      <c r="L488" s="92"/>
      <c r="M488" s="92">
        <v>1.2</v>
      </c>
      <c r="N488" s="92">
        <f>L488*M488</f>
        <v>0</v>
      </c>
    </row>
    <row r="489" spans="2:23" x14ac:dyDescent="0.25">
      <c r="B489" s="10"/>
      <c r="C489" s="40"/>
      <c r="D489" s="40"/>
      <c r="E489" s="86"/>
      <c r="F489" s="4"/>
      <c r="G489" s="107"/>
      <c r="K489" s="92"/>
      <c r="L489" s="92"/>
      <c r="M489" s="92"/>
      <c r="N489" s="92"/>
    </row>
    <row r="490" spans="2:23" x14ac:dyDescent="0.25">
      <c r="B490" s="10"/>
      <c r="C490" s="40"/>
      <c r="D490" s="40"/>
      <c r="E490" s="86"/>
      <c r="F490" s="4"/>
      <c r="G490" s="107"/>
      <c r="N490">
        <f>SUM(N487:N489)</f>
        <v>0</v>
      </c>
    </row>
    <row r="491" spans="2:23" x14ac:dyDescent="0.25">
      <c r="B491" s="72"/>
      <c r="C491" s="77"/>
      <c r="D491" s="77"/>
      <c r="E491" s="85"/>
      <c r="F491" s="26"/>
      <c r="G491" s="107"/>
      <c r="W491">
        <f>SUM(W71:W490)</f>
        <v>46600</v>
      </c>
    </row>
    <row r="492" spans="2:23" x14ac:dyDescent="0.25">
      <c r="B492" s="72"/>
      <c r="C492" s="77"/>
      <c r="D492" s="77"/>
      <c r="E492" s="85"/>
      <c r="F492" s="26"/>
      <c r="G492" s="40"/>
    </row>
    <row r="493" spans="2:23" x14ac:dyDescent="0.25">
      <c r="B493" s="72"/>
      <c r="C493" s="77"/>
      <c r="D493" s="77"/>
      <c r="E493" s="85"/>
      <c r="F493" s="26"/>
      <c r="G493" s="40"/>
    </row>
    <row r="494" spans="2:23" x14ac:dyDescent="0.25">
      <c r="B494" s="73"/>
      <c r="C494" s="78"/>
      <c r="D494" s="78">
        <f>SUM(D474:D493)</f>
        <v>0</v>
      </c>
      <c r="E494" s="87"/>
      <c r="F494" s="59"/>
      <c r="G494" s="39"/>
    </row>
  </sheetData>
  <mergeCells count="35">
    <mergeCell ref="B124:C124"/>
    <mergeCell ref="G58:H58"/>
    <mergeCell ref="G59:H59"/>
    <mergeCell ref="B87:C87"/>
    <mergeCell ref="G94:H94"/>
    <mergeCell ref="G95:H95"/>
    <mergeCell ref="B270:C270"/>
    <mergeCell ref="G131:H131"/>
    <mergeCell ref="G132:H132"/>
    <mergeCell ref="B160:C160"/>
    <mergeCell ref="G167:H167"/>
    <mergeCell ref="G168:H168"/>
    <mergeCell ref="B196:C196"/>
    <mergeCell ref="G203:H203"/>
    <mergeCell ref="G204:H204"/>
    <mergeCell ref="B232:C232"/>
    <mergeCell ref="G239:H239"/>
    <mergeCell ref="G240:H240"/>
    <mergeCell ref="B423:C423"/>
    <mergeCell ref="G277:H277"/>
    <mergeCell ref="G278:H278"/>
    <mergeCell ref="B311:C311"/>
    <mergeCell ref="G318:H318"/>
    <mergeCell ref="G319:H319"/>
    <mergeCell ref="B347:C347"/>
    <mergeCell ref="G355:H355"/>
    <mergeCell ref="G356:H356"/>
    <mergeCell ref="B384:C384"/>
    <mergeCell ref="G392:H392"/>
    <mergeCell ref="G393:H393"/>
    <mergeCell ref="G431:H431"/>
    <mergeCell ref="G432:H432"/>
    <mergeCell ref="B460:C460"/>
    <mergeCell ref="G467:H467"/>
    <mergeCell ref="G468:H468"/>
  </mergeCells>
  <phoneticPr fontId="2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3EC1A6-C120-4F7D-8D4E-43CEA35C72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FATURA RREGULLT 2026</vt:lpstr>
      <vt:lpstr>DEPO BABI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EVEREST FERIZAJ</cp:lastModifiedBy>
  <dcterms:created xsi:type="dcterms:W3CDTF">2015-06-05T18:17:20Z</dcterms:created>
  <dcterms:modified xsi:type="dcterms:W3CDTF">2026-09-15T13:14:02Z</dcterms:modified>
</cp:coreProperties>
</file>